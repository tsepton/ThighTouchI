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amurbe.sharepoint.com/sites/ProjetPleMecatechOPTIMIS/Documents partages/General/Touch-Haptic prototype/UX-ISWC/Participants/"/>
    </mc:Choice>
  </mc:AlternateContent>
  <xr:revisionPtr revIDLastSave="655" documentId="8_{D7AFC970-6C6A-864A-9CF9-847669633A60}" xr6:coauthVersionLast="47" xr6:coauthVersionMax="47" xr10:uidLastSave="{564CB2E4-7D55-CF4F-B369-03D1F854BF81}"/>
  <bookViews>
    <workbookView xWindow="0" yWindow="760" windowWidth="30240" windowHeight="17720" xr2:uid="{31112A70-7789-854D-B897-9CCB5A6F97D2}"/>
  </bookViews>
  <sheets>
    <sheet name="demographi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13" i="1" l="1"/>
  <c r="AG12" i="1"/>
  <c r="AH12" i="1"/>
  <c r="AI12" i="1"/>
  <c r="AG13" i="1"/>
  <c r="AI13" i="1"/>
  <c r="AG14" i="1"/>
  <c r="AH14" i="1"/>
  <c r="AI14" i="1"/>
  <c r="AI11" i="1"/>
  <c r="AH11" i="1"/>
  <c r="AH10" i="1"/>
  <c r="AG11" i="1"/>
  <c r="AG10" i="1"/>
  <c r="AI10" i="1"/>
  <c r="D35" i="1"/>
  <c r="D33" i="1"/>
  <c r="C50" i="1" a="1"/>
  <c r="C50" i="1" s="1"/>
  <c r="C62" i="1" l="1"/>
  <c r="C25" i="1"/>
  <c r="C24" i="1"/>
  <c r="C23" i="1"/>
  <c r="F56" i="1" a="1"/>
  <c r="F56" i="1" s="1"/>
  <c r="F55" i="1" a="1"/>
  <c r="F55" i="1" s="1"/>
  <c r="F54" i="1" a="1"/>
  <c r="F54" i="1" s="1"/>
  <c r="F53" i="1" a="1"/>
  <c r="F53" i="1" s="1"/>
  <c r="F52" i="1" a="1"/>
  <c r="F52" i="1" s="1"/>
  <c r="F51" i="1" a="1"/>
  <c r="F51" i="1" s="1"/>
  <c r="F50" i="1" a="1"/>
  <c r="F50" i="1" s="1"/>
  <c r="E56" i="1" a="1"/>
  <c r="E56" i="1" s="1"/>
  <c r="E55" i="1" a="1"/>
  <c r="E55" i="1" s="1"/>
  <c r="E54" i="1" a="1"/>
  <c r="E54" i="1" s="1"/>
  <c r="E53" i="1" a="1"/>
  <c r="E53" i="1" s="1"/>
  <c r="E52" i="1" a="1"/>
  <c r="E52" i="1" s="1"/>
  <c r="E51" i="1" a="1"/>
  <c r="E51" i="1" s="1"/>
  <c r="E50" i="1" a="1"/>
  <c r="E50" i="1" s="1"/>
  <c r="C66" i="1"/>
  <c r="C65" i="1"/>
  <c r="C64" i="1"/>
  <c r="C63" i="1"/>
  <c r="C61" i="1"/>
  <c r="C51" i="1" a="1"/>
  <c r="C51" i="1" s="1"/>
  <c r="C54" i="1" a="1"/>
  <c r="C54" i="1" s="1"/>
  <c r="C52" i="1" a="1"/>
  <c r="C52" i="1" s="1"/>
  <c r="C53" i="1" a="1"/>
  <c r="C53" i="1" s="1"/>
  <c r="C55" i="1" a="1"/>
  <c r="C55" i="1" s="1"/>
  <c r="C56" i="1" a="1"/>
  <c r="C56" i="1" s="1"/>
  <c r="G51" i="1" a="1"/>
  <c r="G51" i="1" s="1"/>
  <c r="G52" i="1" a="1"/>
  <c r="G52" i="1" s="1"/>
  <c r="G53" i="1" a="1"/>
  <c r="G53" i="1" s="1"/>
  <c r="G54" i="1" a="1"/>
  <c r="G54" i="1" s="1"/>
  <c r="G55" i="1" a="1"/>
  <c r="G55" i="1" s="1"/>
  <c r="G56" i="1" a="1"/>
  <c r="G56" i="1" s="1"/>
  <c r="G50" i="1" a="1"/>
  <c r="G50" i="1" s="1"/>
  <c r="D50" i="1" a="1"/>
  <c r="D50" i="1" s="1"/>
  <c r="D54" i="1" a="1"/>
  <c r="D54" i="1" s="1"/>
  <c r="D51" i="1" a="1"/>
  <c r="D51" i="1" s="1"/>
  <c r="D52" i="1" a="1"/>
  <c r="D52" i="1" s="1"/>
  <c r="D53" i="1" a="1"/>
  <c r="D53" i="1" s="1"/>
  <c r="D55" i="1" a="1"/>
  <c r="D55" i="1" s="1"/>
  <c r="D56" i="1" a="1"/>
  <c r="D56" i="1" s="1"/>
  <c r="H56" i="1"/>
  <c r="H55" i="1"/>
  <c r="H54" i="1"/>
  <c r="H53" i="1"/>
  <c r="H52" i="1"/>
  <c r="H51" i="1"/>
  <c r="H50" i="1"/>
  <c r="C45" i="1" a="1"/>
  <c r="C45" i="1" s="1"/>
  <c r="C44" i="1" a="1"/>
  <c r="C44" i="1" s="1"/>
  <c r="C43" i="1" a="1"/>
  <c r="C43" i="1" s="1"/>
  <c r="C36" i="1" a="1"/>
  <c r="C36" i="1" s="1"/>
  <c r="C38" i="1" a="1"/>
  <c r="C38" i="1" s="1"/>
  <c r="C67" i="1" l="1"/>
  <c r="D61" i="1"/>
  <c r="D62" i="1" s="1"/>
  <c r="H57" i="1"/>
  <c r="G57" i="1"/>
  <c r="F57" i="1"/>
  <c r="E57" i="1"/>
  <c r="C57" i="1"/>
  <c r="D57" i="1"/>
  <c r="C46" i="1"/>
  <c r="C39" i="1" a="1"/>
  <c r="C39" i="1" s="1"/>
  <c r="C37" i="1" a="1"/>
  <c r="C37" i="1" s="1"/>
  <c r="C35" i="1" a="1"/>
  <c r="C35" i="1" s="1"/>
  <c r="C34" i="1" a="1"/>
  <c r="C34" i="1" s="1"/>
  <c r="C33" i="1" a="1"/>
  <c r="C33" i="1" s="1"/>
  <c r="C28" i="1"/>
  <c r="C27" i="1"/>
  <c r="C30" i="1" s="1"/>
  <c r="C26" i="1"/>
  <c r="C22" i="1" a="1"/>
  <c r="C22" i="1" s="1"/>
  <c r="C21" i="1" a="1"/>
  <c r="C21" i="1" s="1"/>
  <c r="C20" i="1" a="1"/>
  <c r="C20" i="1" s="1"/>
  <c r="F20" i="1" l="1"/>
  <c r="C19" i="1"/>
  <c r="C40" i="1"/>
  <c r="H65" i="1" l="1"/>
  <c r="G65" i="1"/>
  <c r="H63" i="1"/>
  <c r="H64" i="1"/>
  <c r="G64" i="1"/>
  <c r="G63" i="1"/>
  <c r="G66" i="1"/>
  <c r="F65" i="1"/>
  <c r="H62" i="1"/>
  <c r="G62" i="1"/>
  <c r="F62" i="1"/>
  <c r="F64" i="1"/>
  <c r="H66" i="1"/>
  <c r="F66" i="1"/>
  <c r="F63" i="1"/>
  <c r="E62" i="1"/>
  <c r="C29" i="1"/>
  <c r="E61" i="1"/>
  <c r="H61" i="1"/>
  <c r="F61" i="1"/>
  <c r="G61" i="1"/>
  <c r="D63" i="1"/>
  <c r="E63" i="1" s="1"/>
  <c r="D64" i="1" l="1"/>
  <c r="E64" i="1" s="1"/>
  <c r="D65" i="1" l="1"/>
  <c r="E65" i="1" s="1"/>
  <c r="D66" i="1" l="1"/>
  <c r="E6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Jean Vanderdonckt</author>
  </authors>
  <commentList>
    <comment ref="A5" authorId="0" shapeId="0" xr:uid="{17B2A1B4-096D-4E4C-B4D2-286A2434C3AD}">
      <text>
        <r>
          <rPr>
            <sz val="9"/>
            <color rgb="FF000000"/>
            <rFont val="Tahoma"/>
            <family val="2"/>
          </rPr>
          <t xml:space="preserve">F=Female
</t>
        </r>
        <r>
          <rPr>
            <sz val="9"/>
            <color rgb="FF000000"/>
            <rFont val="Tahoma"/>
            <family val="2"/>
          </rPr>
          <t xml:space="preserve">M=Male
</t>
        </r>
        <r>
          <rPr>
            <sz val="9"/>
            <color rgb="FF000000"/>
            <rFont val="Tahoma"/>
            <family val="2"/>
          </rPr>
          <t>O=Other</t>
        </r>
      </text>
    </comment>
    <comment ref="A6" authorId="0" shapeId="0" xr:uid="{DD77028D-842C-FD4C-9889-8D581417F4CD}">
      <text>
        <r>
          <rPr>
            <sz val="9"/>
            <color rgb="FF000000"/>
            <rFont val="Tahoma"/>
            <family val="2"/>
          </rPr>
          <t>Age expressed in years</t>
        </r>
      </text>
    </comment>
    <comment ref="A7" authorId="0" shapeId="0" xr:uid="{94F0695B-2E7C-3C40-85E0-7A9565BA9A1A}">
      <text>
        <r>
          <rPr>
            <sz val="10"/>
            <color rgb="FF000000"/>
            <rFont val="Tahoma"/>
            <family val="2"/>
          </rPr>
          <t xml:space="preserve">S=Student
</t>
        </r>
        <r>
          <rPr>
            <sz val="10"/>
            <color rgb="FF000000"/>
            <rFont val="Tahoma"/>
            <family val="2"/>
          </rPr>
          <t xml:space="preserve">X=Executive
</t>
        </r>
        <r>
          <rPr>
            <sz val="10"/>
            <color rgb="FF000000"/>
            <rFont val="Tahoma"/>
            <family val="2"/>
          </rPr>
          <t xml:space="preserve">E=Employee
</t>
        </r>
        <r>
          <rPr>
            <sz val="10"/>
            <color rgb="FF000000"/>
            <rFont val="Tahoma"/>
            <family val="2"/>
          </rPr>
          <t xml:space="preserve">I=Independent
</t>
        </r>
        <r>
          <rPr>
            <sz val="10"/>
            <color rgb="FF000000"/>
            <rFont val="Tahoma"/>
            <family val="2"/>
          </rPr>
          <t xml:space="preserve">R=Retiree
</t>
        </r>
        <r>
          <rPr>
            <sz val="10"/>
            <color rgb="FF000000"/>
            <rFont val="Tahoma"/>
            <family val="2"/>
          </rPr>
          <t xml:space="preserve">U=Unemployed
</t>
        </r>
        <r>
          <rPr>
            <sz val="10"/>
            <color rgb="FF000000"/>
            <rFont val="Tahoma"/>
            <family val="2"/>
          </rPr>
          <t>O=Others</t>
        </r>
      </text>
    </comment>
    <comment ref="A8" authorId="0" shapeId="0" xr:uid="{38B30292-F9F8-FE43-8CC8-FE21BE317BC1}">
      <text>
        <r>
          <rPr>
            <sz val="10"/>
            <color rgb="FF000000"/>
            <rFont val="Tahoma"/>
            <family val="2"/>
          </rPr>
          <t xml:space="preserve">Domain of activity, for instance
</t>
        </r>
        <r>
          <rPr>
            <sz val="10"/>
            <color rgb="FF000000"/>
            <rFont val="Tahoma"/>
            <family val="2"/>
          </rPr>
          <t xml:space="preserve">Accounting
</t>
        </r>
        <r>
          <rPr>
            <sz val="10"/>
            <color rgb="FF000000"/>
            <rFont val="Tahoma"/>
            <family val="2"/>
          </rPr>
          <t xml:space="preserve">Bank
</t>
        </r>
        <r>
          <rPr>
            <sz val="10"/>
            <color rgb="FF000000"/>
            <rFont val="Tahoma"/>
            <family val="2"/>
          </rPr>
          <t xml:space="preserve">Commerce
</t>
        </r>
        <r>
          <rPr>
            <sz val="10"/>
            <color rgb="FF000000"/>
            <rFont val="Tahoma"/>
            <family val="2"/>
          </rPr>
          <t xml:space="preserve">Consultant
</t>
        </r>
        <r>
          <rPr>
            <sz val="10"/>
            <color rgb="FF000000"/>
            <rFont val="Tahoma"/>
            <family val="2"/>
          </rPr>
          <t xml:space="preserve">Education (all levels of teeaching)
</t>
        </r>
        <r>
          <rPr>
            <sz val="10"/>
            <color rgb="FF000000"/>
            <rFont val="Tahoma"/>
            <family val="2"/>
          </rPr>
          <t xml:space="preserve">Finance
</t>
        </r>
        <r>
          <rPr>
            <sz val="10"/>
            <color rgb="FF000000"/>
            <rFont val="Tahoma"/>
            <family val="2"/>
          </rPr>
          <t xml:space="preserve">Insurance
</t>
        </r>
        <r>
          <rPr>
            <sz val="10"/>
            <color rgb="FF000000"/>
            <rFont val="Tahoma"/>
            <family val="2"/>
          </rPr>
          <t xml:space="preserve">Management
</t>
        </r>
        <r>
          <rPr>
            <sz val="10"/>
            <color rgb="FF000000"/>
            <rFont val="Tahoma"/>
            <family val="2"/>
          </rPr>
          <t>Medicine (all specialities)</t>
        </r>
      </text>
    </comment>
    <comment ref="A9" authorId="0" shapeId="0" xr:uid="{966AE3E5-2B58-D54E-AB37-4C7803FDF9BC}">
      <text>
        <r>
          <rPr>
            <sz val="10"/>
            <color rgb="FF000000"/>
            <rFont val="Tahoma"/>
            <family val="2"/>
          </rPr>
          <t xml:space="preserve">Level of the last diploma obtained
</t>
        </r>
        <r>
          <rPr>
            <sz val="10"/>
            <color rgb="FF000000"/>
            <rFont val="Tahoma"/>
            <family val="2"/>
          </rPr>
          <t xml:space="preserve">P=Primary school
</t>
        </r>
        <r>
          <rPr>
            <sz val="10"/>
            <color rgb="FF000000"/>
            <rFont val="Tahoma"/>
            <family val="2"/>
          </rPr>
          <t xml:space="preserve">S=Secundary school
</t>
        </r>
        <r>
          <rPr>
            <sz val="10"/>
            <color rgb="FF000000"/>
            <rFont val="Tahoma"/>
            <family val="2"/>
          </rPr>
          <t xml:space="preserve">H=High school
</t>
        </r>
        <r>
          <rPr>
            <sz val="10"/>
            <color rgb="FF000000"/>
            <rFont val="Tahoma"/>
            <family val="2"/>
          </rPr>
          <t xml:space="preserve">B=Bachelor degree
</t>
        </r>
        <r>
          <rPr>
            <sz val="10"/>
            <color rgb="FF000000"/>
            <rFont val="Tahoma"/>
            <family val="2"/>
          </rPr>
          <t xml:space="preserve">M=Master degree
</t>
        </r>
        <r>
          <rPr>
            <sz val="10"/>
            <color rgb="FF000000"/>
            <rFont val="Tahoma"/>
            <family val="2"/>
          </rPr>
          <t xml:space="preserve">D=Doctorate degree (PhD)
</t>
        </r>
        <r>
          <rPr>
            <sz val="10"/>
            <color rgb="FF000000"/>
            <rFont val="Tahoma"/>
            <family val="2"/>
          </rPr>
          <t>O=Post-doctorate</t>
        </r>
      </text>
    </comment>
    <comment ref="A15" authorId="0" shapeId="0" xr:uid="{30FBF17E-FE18-5D45-9896-408F5F272EF3}">
      <text>
        <r>
          <rPr>
            <sz val="10"/>
            <color rgb="FF000000"/>
            <rFont val="Tahoma"/>
            <family val="2"/>
          </rPr>
          <t xml:space="preserve">Did you know the device used in the experiment before?
</t>
        </r>
        <r>
          <rPr>
            <sz val="10"/>
            <color rgb="FF000000"/>
            <rFont val="Tahoma"/>
            <family val="2"/>
          </rPr>
          <t xml:space="preserve">Y=yes
</t>
        </r>
        <r>
          <rPr>
            <sz val="10"/>
            <color rgb="FF000000"/>
            <rFont val="Tahoma"/>
            <family val="2"/>
          </rPr>
          <t>No=no</t>
        </r>
      </text>
    </comment>
    <comment ref="A16" authorId="0" shapeId="0" xr:uid="{625B5185-C65C-E248-B48F-7AE7359AEE97}">
      <text>
        <r>
          <rPr>
            <sz val="9"/>
            <color rgb="FF000000"/>
            <rFont val="Tahoma"/>
            <family val="2"/>
          </rPr>
          <t xml:space="preserve">Device frequency only if the device of the experiment is known (1-7). 
</t>
        </r>
        <r>
          <rPr>
            <sz val="9"/>
            <color rgb="FF000000"/>
            <rFont val="Tahoma"/>
            <family val="2"/>
          </rPr>
          <t>Otherwise, leave empty</t>
        </r>
      </text>
    </comment>
    <comment ref="A17" authorId="0" shapeId="0" xr:uid="{D0891347-B96A-BE45-9D3B-E923216E119B}">
      <text>
        <r>
          <rPr>
            <sz val="9"/>
            <color rgb="FF000000"/>
            <rFont val="Tahoma"/>
            <family val="2"/>
          </rPr>
          <t xml:space="preserve">L=lefthanded
</t>
        </r>
        <r>
          <rPr>
            <sz val="9"/>
            <color rgb="FF000000"/>
            <rFont val="Tahoma"/>
            <family val="2"/>
          </rPr>
          <t xml:space="preserve">R=righthanded
</t>
        </r>
        <r>
          <rPr>
            <sz val="9"/>
            <color rgb="FF000000"/>
            <rFont val="Tahoma"/>
            <family val="2"/>
          </rPr>
          <t>A=ambidextrous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<sst xmlns="http://schemas.openxmlformats.org/spreadsheetml/2006/main" count="252" uniqueCount="106">
  <si>
    <t>P1</t>
  </si>
  <si>
    <t>P2</t>
  </si>
  <si>
    <t>P3</t>
  </si>
  <si>
    <t>P4</t>
  </si>
  <si>
    <t>P5</t>
  </si>
  <si>
    <t>P6</t>
  </si>
  <si>
    <t>P7</t>
  </si>
  <si>
    <t>P8</t>
  </si>
  <si>
    <t>P19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</si>
  <si>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</si>
  <si>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</si>
  <si>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</si>
  <si>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</si>
  <si>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</si>
  <si>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</si>
  <si>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</si>
  <si>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</si>
  <si>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</si>
  <si>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</si>
  <si>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</si>
  <si>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</si>
  <si>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</si>
  <si>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</si>
  <si>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</si>
  <si>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</si>
  <si>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</si>
  <si>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</si>
  <si>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</si>
  <si>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</si>
  <si>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Variable</t>
  </si>
  <si>
    <t>Gender (F,M,O)</t>
  </si>
  <si>
    <t>M</t>
  </si>
  <si>
    <t>Age</t>
  </si>
  <si>
    <t>Profession (S,X,E,I,R,U,O)</t>
  </si>
  <si>
    <t>Domain of activity</t>
  </si>
  <si>
    <t>Background</t>
  </si>
  <si>
    <t>Computer usage frequency (1-7)</t>
  </si>
  <si>
    <t>Smartphone usage frequency</t>
  </si>
  <si>
    <t>Kinect usage frequency</t>
  </si>
  <si>
    <t>Device known? (Y,N)</t>
  </si>
  <si>
    <t>Device usage frequency (1-7)</t>
  </si>
  <si>
    <t>Handedness (L,R,A)</t>
  </si>
  <si>
    <t>Touch surface frequency</t>
  </si>
  <si>
    <t>Gender</t>
  </si>
  <si>
    <t>Female</t>
  </si>
  <si>
    <t>Male</t>
  </si>
  <si>
    <t>Average</t>
  </si>
  <si>
    <t>Median</t>
  </si>
  <si>
    <t>Deviation</t>
  </si>
  <si>
    <t>Stand. Dev.</t>
  </si>
  <si>
    <t>Confidence interval</t>
  </si>
  <si>
    <t>Variance</t>
  </si>
  <si>
    <t>Alpha</t>
  </si>
  <si>
    <t>Profession</t>
  </si>
  <si>
    <t>Student</t>
  </si>
  <si>
    <t>Executive</t>
  </si>
  <si>
    <t>Employee</t>
  </si>
  <si>
    <t>Independent</t>
  </si>
  <si>
    <t>Retiree</t>
  </si>
  <si>
    <t>Unemployed</t>
  </si>
  <si>
    <t>Other</t>
  </si>
  <si>
    <t>Total</t>
  </si>
  <si>
    <t>Number of participants N=</t>
  </si>
  <si>
    <t>N</t>
  </si>
  <si>
    <t>Handedness</t>
  </si>
  <si>
    <t>Left</t>
  </si>
  <si>
    <t>Right</t>
  </si>
  <si>
    <t>Ambidextrous</t>
  </si>
  <si>
    <t>R</t>
  </si>
  <si>
    <t>S</t>
  </si>
  <si>
    <t>Frequency</t>
  </si>
  <si>
    <t>Computer</t>
  </si>
  <si>
    <t>Smartphone</t>
  </si>
  <si>
    <t>Kinect</t>
  </si>
  <si>
    <t>Usage frequency</t>
  </si>
  <si>
    <t>XR headset  frequency</t>
  </si>
  <si>
    <t xml:space="preserve">XR headset </t>
  </si>
  <si>
    <t>Touch surface</t>
  </si>
  <si>
    <t>Our Device</t>
  </si>
  <si>
    <t>ID Participants</t>
  </si>
  <si>
    <t>Age distribution</t>
  </si>
  <si>
    <t>Interval</t>
  </si>
  <si>
    <t>Cumulated</t>
  </si>
  <si>
    <t>Cum. Percentage</t>
  </si>
  <si>
    <t>&lt;=17</t>
  </si>
  <si>
    <t>[18,24]</t>
  </si>
  <si>
    <t>[25,34]</t>
  </si>
  <si>
    <t>[35,44]</t>
  </si>
  <si>
    <t>[45,54]</t>
  </si>
  <si>
    <t>&gt;=55</t>
  </si>
  <si>
    <t>Male/Female ratio</t>
  </si>
  <si>
    <t>E</t>
  </si>
  <si>
    <t>Computer Science</t>
  </si>
  <si>
    <t>L</t>
  </si>
  <si>
    <t>C</t>
  </si>
  <si>
    <t>P9</t>
  </si>
  <si>
    <t>Minimun</t>
  </si>
  <si>
    <t>Maximun</t>
  </si>
  <si>
    <t>F</t>
  </si>
  <si>
    <t>Law</t>
  </si>
  <si>
    <t>PhD</t>
  </si>
  <si>
    <t>Economics</t>
  </si>
  <si>
    <t>Management</t>
  </si>
  <si>
    <t>G</t>
  </si>
  <si>
    <t>Avg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</si>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</sst>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00"/>
      <name val="Tahoma"/>
      <family val="2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2" fillId="2" borderId="2" xfId="1" applyFont="1" applyBorder="1"/>
    <xf numFmtId="0" fontId="2" fillId="2" borderId="3" xfId="1" applyFont="1" applyBorder="1"/>
    <xf numFmtId="0" fontId="2" fillId="2" borderId="4" xfId="1" applyFont="1" applyBorder="1"/>
    <xf numFmtId="0" fontId="2" fillId="2" borderId="5" xfId="1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3" borderId="1" xfId="0" applyFill="1" applyBorder="1" applyAlignment="1">
      <alignment horizontal="right"/>
    </xf>
    <xf numFmtId="0" fontId="2" fillId="2" borderId="9" xfId="1" applyFont="1" applyBorder="1"/>
    <xf numFmtId="0" fontId="2" fillId="4" borderId="6" xfId="0" applyFont="1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10" xfId="0" applyFill="1" applyBorder="1"/>
    <xf numFmtId="0" fontId="0" fillId="4" borderId="11" xfId="0" applyFill="1" applyBorder="1"/>
    <xf numFmtId="0" fontId="0" fillId="4" borderId="12" xfId="0" applyFill="1" applyBorder="1"/>
    <xf numFmtId="0" fontId="2" fillId="4" borderId="13" xfId="0" applyFont="1" applyFill="1" applyBorder="1"/>
    <xf numFmtId="0" fontId="0" fillId="4" borderId="0" xfId="0" applyFill="1"/>
    <xf numFmtId="2" fontId="0" fillId="4" borderId="14" xfId="0" applyNumberFormat="1" applyFill="1" applyBorder="1"/>
    <xf numFmtId="0" fontId="0" fillId="4" borderId="13" xfId="0" applyFill="1" applyBorder="1"/>
    <xf numFmtId="0" fontId="2" fillId="4" borderId="11" xfId="0" applyFont="1" applyFill="1" applyBorder="1"/>
    <xf numFmtId="0" fontId="0" fillId="4" borderId="14" xfId="0" applyFill="1" applyBorder="1"/>
    <xf numFmtId="0" fontId="2" fillId="2" borderId="0" xfId="1" applyFont="1" applyBorder="1"/>
    <xf numFmtId="0" fontId="2" fillId="0" borderId="0" xfId="0" applyFont="1"/>
    <xf numFmtId="0" fontId="0" fillId="4" borderId="15" xfId="0" applyFill="1" applyBorder="1"/>
    <xf numFmtId="0" fontId="0" fillId="4" borderId="5" xfId="0" applyFill="1" applyBorder="1"/>
    <xf numFmtId="0" fontId="0" fillId="4" borderId="9" xfId="0" applyFill="1" applyBorder="1"/>
    <xf numFmtId="0" fontId="2" fillId="2" borderId="15" xfId="1" applyFont="1" applyBorder="1" applyAlignment="1">
      <alignment horizontal="right"/>
    </xf>
    <xf numFmtId="0" fontId="0" fillId="0" borderId="0" xfId="0" applyAlignment="1">
      <alignment horizontal="fill"/>
    </xf>
    <xf numFmtId="0" fontId="2" fillId="4" borderId="5" xfId="0" applyFont="1" applyFill="1" applyBorder="1"/>
    <xf numFmtId="9" fontId="0" fillId="0" borderId="0" xfId="2" applyFont="1"/>
    <xf numFmtId="2" fontId="0" fillId="0" borderId="0" xfId="0" applyNumberFormat="1"/>
  </cellXfs>
  <cellStyles count="3">
    <cellStyle name="20% - Accent3" xfId="1" builtinId="38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Usage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demographic!$C$49</c:f>
              <c:strCache>
                <c:ptCount val="1"/>
                <c:pt idx="0">
                  <c:v>Computer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demographic!$B$50:$B$56</c:f>
              <c:numCache>
                <c:formatCode>General</c:formatCode>
                <c:ptCount val="7"/>
                <c:pt idx="0">
                  <c:v>7</c:v>
                </c:pt>
                <c:pt idx="1">
                  <c:v>6</c:v>
                </c:pt>
                <c:pt idx="2">
                  <c:v>5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</c:numCache>
            </c:numRef>
          </c:xVal>
          <c:yVal>
            <c:numRef>
              <c:f>demographic!$C$50:$C$56</c:f>
              <c:numCache>
                <c:formatCode>General</c:formatCode>
                <c:ptCount val="7"/>
                <c:pt idx="0">
                  <c:v>24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52-4648-978F-49BF8A96D62C}"/>
            </c:ext>
          </c:extLst>
        </c:ser>
        <c:ser>
          <c:idx val="1"/>
          <c:order val="1"/>
          <c:tx>
            <c:strRef>
              <c:f>demographic!$D$49</c:f>
              <c:strCache>
                <c:ptCount val="1"/>
                <c:pt idx="0">
                  <c:v>Smartphone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demographic!$B$50:$B$56</c:f>
              <c:numCache>
                <c:formatCode>General</c:formatCode>
                <c:ptCount val="7"/>
                <c:pt idx="0">
                  <c:v>7</c:v>
                </c:pt>
                <c:pt idx="1">
                  <c:v>6</c:v>
                </c:pt>
                <c:pt idx="2">
                  <c:v>5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</c:numCache>
            </c:numRef>
          </c:xVal>
          <c:yVal>
            <c:numRef>
              <c:f>demographic!$D$50:$D$56</c:f>
              <c:numCache>
                <c:formatCode>General</c:formatCode>
                <c:ptCount val="7"/>
                <c:pt idx="0">
                  <c:v>20</c:v>
                </c:pt>
                <c:pt idx="1">
                  <c:v>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52-4648-978F-49BF8A96D62C}"/>
            </c:ext>
          </c:extLst>
        </c:ser>
        <c:ser>
          <c:idx val="2"/>
          <c:order val="2"/>
          <c:tx>
            <c:strRef>
              <c:f>demographic!$E$49</c:f>
              <c:strCache>
                <c:ptCount val="1"/>
                <c:pt idx="0">
                  <c:v>XR headset 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demographic!$B$50:$B$56</c:f>
              <c:numCache>
                <c:formatCode>General</c:formatCode>
                <c:ptCount val="7"/>
                <c:pt idx="0">
                  <c:v>7</c:v>
                </c:pt>
                <c:pt idx="1">
                  <c:v>6</c:v>
                </c:pt>
                <c:pt idx="2">
                  <c:v>5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</c:numCache>
            </c:numRef>
          </c:xVal>
          <c:yVal>
            <c:numRef>
              <c:f>demographic!$E$50:$E$56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E52-4648-978F-49BF8A96D62C}"/>
            </c:ext>
          </c:extLst>
        </c:ser>
        <c:ser>
          <c:idx val="3"/>
          <c:order val="3"/>
          <c:tx>
            <c:strRef>
              <c:f>demographic!$F$49</c:f>
              <c:strCache>
                <c:ptCount val="1"/>
                <c:pt idx="0">
                  <c:v>Touch surface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demographic!$B$50:$B$56</c:f>
              <c:numCache>
                <c:formatCode>General</c:formatCode>
                <c:ptCount val="7"/>
                <c:pt idx="0">
                  <c:v>7</c:v>
                </c:pt>
                <c:pt idx="1">
                  <c:v>6</c:v>
                </c:pt>
                <c:pt idx="2">
                  <c:v>5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</c:numCache>
            </c:numRef>
          </c:xVal>
          <c:yVal>
            <c:numRef>
              <c:f>demographic!$F$50:$F$56</c:f>
              <c:numCache>
                <c:formatCode>General</c:formatCode>
                <c:ptCount val="7"/>
                <c:pt idx="0">
                  <c:v>14</c:v>
                </c:pt>
                <c:pt idx="1">
                  <c:v>6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E52-4648-978F-49BF8A96D62C}"/>
            </c:ext>
          </c:extLst>
        </c:ser>
        <c:ser>
          <c:idx val="4"/>
          <c:order val="4"/>
          <c:tx>
            <c:strRef>
              <c:f>demographic!$G$49</c:f>
              <c:strCache>
                <c:ptCount val="1"/>
                <c:pt idx="0">
                  <c:v>Kinect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demographic!$B$50:$B$56</c:f>
              <c:numCache>
                <c:formatCode>General</c:formatCode>
                <c:ptCount val="7"/>
                <c:pt idx="0">
                  <c:v>7</c:v>
                </c:pt>
                <c:pt idx="1">
                  <c:v>6</c:v>
                </c:pt>
                <c:pt idx="2">
                  <c:v>5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</c:numCache>
            </c:numRef>
          </c:xVal>
          <c:yVal>
            <c:numRef>
              <c:f>demographic!$G$50:$G$56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E52-4648-978F-49BF8A96D6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4135471"/>
        <c:axId val="2034082927"/>
      </c:scatterChart>
      <c:valAx>
        <c:axId val="2034135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2034082927"/>
        <c:crosses val="autoZero"/>
        <c:crossBetween val="midCat"/>
      </c:valAx>
      <c:valAx>
        <c:axId val="203408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20341354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demographic!$C$60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demographic!$B$61:$B$66</c:f>
              <c:strCache>
                <c:ptCount val="6"/>
                <c:pt idx="0">
                  <c:v>&lt;=17</c:v>
                </c:pt>
                <c:pt idx="1">
                  <c:v>[18,24]</c:v>
                </c:pt>
                <c:pt idx="2">
                  <c:v>[25,34]</c:v>
                </c:pt>
                <c:pt idx="3">
                  <c:v>[35,44]</c:v>
                </c:pt>
                <c:pt idx="4">
                  <c:v>[45,54]</c:v>
                </c:pt>
                <c:pt idx="5">
                  <c:v>&gt;=55</c:v>
                </c:pt>
              </c:strCache>
            </c:strRef>
          </c:cat>
          <c:val>
            <c:numRef>
              <c:f>demographic!$C$61:$C$66</c:f>
              <c:numCache>
                <c:formatCode>General</c:formatCode>
                <c:ptCount val="6"/>
                <c:pt idx="0">
                  <c:v>0</c:v>
                </c:pt>
                <c:pt idx="1">
                  <c:v>11</c:v>
                </c:pt>
                <c:pt idx="2">
                  <c:v>12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1F-6044-9284-6C81FF153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35625423"/>
        <c:axId val="2142011695"/>
      </c:barChart>
      <c:catAx>
        <c:axId val="19356254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2142011695"/>
        <c:crosses val="autoZero"/>
        <c:auto val="1"/>
        <c:lblAlgn val="ctr"/>
        <c:lblOffset val="100"/>
        <c:noMultiLvlLbl val="0"/>
      </c:catAx>
      <c:valAx>
        <c:axId val="2142011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935625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GB"/>
              <a:t>Gender</a:t>
            </a:r>
          </a:p>
        </c:rich>
      </c:tx>
      <c:layout>
        <c:manualLayout>
          <c:xMode val="edge"/>
          <c:yMode val="edge"/>
          <c:x val="2.4826334208223957E-2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BE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C3B-2249-90F7-0BFAC57331CF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C3B-2249-90F7-0BFAC57331CF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C3B-2249-90F7-0BFAC57331CF}"/>
              </c:ext>
            </c:extLst>
          </c:dPt>
          <c:dLbls>
            <c:dLbl>
              <c:idx val="0"/>
              <c:layout>
                <c:manualLayout>
                  <c:x val="0.12471655328798177"/>
                  <c:y val="-0.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C3B-2249-90F7-0BFAC57331CF}"/>
                </c:ext>
              </c:extLst>
            </c:dLbl>
            <c:dLbl>
              <c:idx val="1"/>
              <c:layout>
                <c:manualLayout>
                  <c:x val="0.26984126984126983"/>
                  <c:y val="3.1034482758620689E-2"/>
                </c:manualLayout>
              </c:layout>
              <c:spPr>
                <a:solidFill>
                  <a:sysClr val="window" lastClr="FFFFFF">
                    <a:alpha val="75000"/>
                  </a:sysClr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BE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223922"/>
                        <a:gd name="adj2" fmla="val -115016"/>
                      </a:avLst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EC3B-2249-90F7-0BFAC57331CF}"/>
                </c:ext>
              </c:extLst>
            </c:dLbl>
            <c:dLbl>
              <c:idx val="2"/>
              <c:layout>
                <c:manualLayout>
                  <c:x val="-9.9773242630385534E-2"/>
                  <c:y val="-0.1000000000000000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C3B-2249-90F7-0BFAC57331CF}"/>
                </c:ext>
              </c:extLst>
            </c:dLbl>
            <c:spPr>
              <a:solidFill>
                <a:sysClr val="window" lastClr="FFFFFF">
                  <a:alpha val="75000"/>
                </a:sysClr>
              </a:solidFill>
              <a:ln w="9525"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demographic!$B$20:$B$22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demographic!$C$20:$C$22</c:f>
              <c:numCache>
                <c:formatCode>General</c:formatCode>
                <c:ptCount val="3"/>
                <c:pt idx="0">
                  <c:v>4</c:v>
                </c:pt>
                <c:pt idx="1">
                  <c:v>21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BE-7843-89E9-6E81F832D3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10512971592837"/>
          <c:y val="0.30071668124817735"/>
          <c:w val="0.28561536950738303"/>
          <c:h val="0.38252478856809563"/>
        </c:manualLayout>
      </c:layout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GB"/>
              <a:t>Handedness</a:t>
            </a:r>
          </a:p>
        </c:rich>
      </c:tx>
      <c:layout>
        <c:manualLayout>
          <c:xMode val="edge"/>
          <c:yMode val="edge"/>
          <c:x val="2.0534558180227456E-2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BE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766-624E-93C2-AC0AB15A9535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766-624E-93C2-AC0AB15A9535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766-624E-93C2-AC0AB15A9535}"/>
              </c:ext>
            </c:extLst>
          </c:dPt>
          <c:dLbls>
            <c:dLbl>
              <c:idx val="0"/>
              <c:layout>
                <c:manualLayout>
                  <c:x val="9.4871794871794868E-2"/>
                  <c:y val="-6.95652173913043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766-624E-93C2-AC0AB15A9535}"/>
                </c:ext>
              </c:extLst>
            </c:dLbl>
            <c:dLbl>
              <c:idx val="1"/>
              <c:layout>
                <c:manualLayout>
                  <c:x val="0.2871794871794871"/>
                  <c:y val="6.9565217391304349E-2"/>
                </c:manualLayout>
              </c:layout>
              <c:spPr>
                <a:solidFill>
                  <a:sysClr val="window" lastClr="FFFFFF">
                    <a:alpha val="75000"/>
                  </a:sysClr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BE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261042"/>
                        <a:gd name="adj2" fmla="val -55525"/>
                      </a:avLst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A766-624E-93C2-AC0AB15A9535}"/>
                </c:ext>
              </c:extLst>
            </c:dLbl>
            <c:dLbl>
              <c:idx val="2"/>
              <c:layout>
                <c:manualLayout>
                  <c:x val="-0.19230769230769232"/>
                  <c:y val="-3.043478260869565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766-624E-93C2-AC0AB15A9535}"/>
                </c:ext>
              </c:extLst>
            </c:dLbl>
            <c:spPr>
              <a:solidFill>
                <a:sysClr val="window" lastClr="FFFFFF">
                  <a:alpha val="75000"/>
                </a:sysClr>
              </a:solidFill>
              <a:ln w="9525"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demographic!$B$43:$B$45</c:f>
              <c:strCache>
                <c:ptCount val="3"/>
                <c:pt idx="0">
                  <c:v>Left</c:v>
                </c:pt>
                <c:pt idx="1">
                  <c:v>Right</c:v>
                </c:pt>
                <c:pt idx="2">
                  <c:v>Ambidextrous</c:v>
                </c:pt>
              </c:strCache>
            </c:strRef>
          </c:cat>
          <c:val>
            <c:numRef>
              <c:f>demographic!$C$43:$C$45</c:f>
              <c:numCache>
                <c:formatCode>General</c:formatCode>
                <c:ptCount val="3"/>
                <c:pt idx="0">
                  <c:v>3</c:v>
                </c:pt>
                <c:pt idx="1">
                  <c:v>21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57-4B4E-BE85-B193A9683D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2725984251968503"/>
          <c:y val="0.28063334474495039"/>
          <c:w val="0.34603068847163337"/>
          <c:h val="0.45707189318726471"/>
        </c:manualLayout>
      </c:layout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Usage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demographic!$C$49</c:f>
              <c:strCache>
                <c:ptCount val="1"/>
                <c:pt idx="0">
                  <c:v>Computer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demographic!$B$50:$B$56</c:f>
              <c:numCache>
                <c:formatCode>General</c:formatCode>
                <c:ptCount val="7"/>
                <c:pt idx="0">
                  <c:v>7</c:v>
                </c:pt>
                <c:pt idx="1">
                  <c:v>6</c:v>
                </c:pt>
                <c:pt idx="2">
                  <c:v>5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</c:numCache>
            </c:numRef>
          </c:cat>
          <c:val>
            <c:numRef>
              <c:f>demographic!$C$50:$C$56</c:f>
              <c:numCache>
                <c:formatCode>General</c:formatCode>
                <c:ptCount val="7"/>
                <c:pt idx="0">
                  <c:v>24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40-5D4F-83C0-F1C76C8665E2}"/>
            </c:ext>
          </c:extLst>
        </c:ser>
        <c:ser>
          <c:idx val="1"/>
          <c:order val="1"/>
          <c:tx>
            <c:strRef>
              <c:f>demographic!$D$49</c:f>
              <c:strCache>
                <c:ptCount val="1"/>
                <c:pt idx="0">
                  <c:v>Smartphone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demographic!$B$50:$B$56</c:f>
              <c:numCache>
                <c:formatCode>General</c:formatCode>
                <c:ptCount val="7"/>
                <c:pt idx="0">
                  <c:v>7</c:v>
                </c:pt>
                <c:pt idx="1">
                  <c:v>6</c:v>
                </c:pt>
                <c:pt idx="2">
                  <c:v>5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</c:numCache>
            </c:numRef>
          </c:cat>
          <c:val>
            <c:numRef>
              <c:f>demographic!$D$50:$D$56</c:f>
              <c:numCache>
                <c:formatCode>General</c:formatCode>
                <c:ptCount val="7"/>
                <c:pt idx="0">
                  <c:v>20</c:v>
                </c:pt>
                <c:pt idx="1">
                  <c:v>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40-5D4F-83C0-F1C76C8665E2}"/>
            </c:ext>
          </c:extLst>
        </c:ser>
        <c:ser>
          <c:idx val="2"/>
          <c:order val="2"/>
          <c:tx>
            <c:strRef>
              <c:f>demographic!$E$49</c:f>
              <c:strCache>
                <c:ptCount val="1"/>
                <c:pt idx="0">
                  <c:v>XR headset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demographic!$B$50:$B$56</c:f>
              <c:numCache>
                <c:formatCode>General</c:formatCode>
                <c:ptCount val="7"/>
                <c:pt idx="0">
                  <c:v>7</c:v>
                </c:pt>
                <c:pt idx="1">
                  <c:v>6</c:v>
                </c:pt>
                <c:pt idx="2">
                  <c:v>5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</c:numCache>
            </c:numRef>
          </c:cat>
          <c:val>
            <c:numRef>
              <c:f>demographic!$E$50:$E$56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40-5D4F-83C0-F1C76C8665E2}"/>
            </c:ext>
          </c:extLst>
        </c:ser>
        <c:ser>
          <c:idx val="3"/>
          <c:order val="3"/>
          <c:tx>
            <c:strRef>
              <c:f>demographic!$F$49</c:f>
              <c:strCache>
                <c:ptCount val="1"/>
                <c:pt idx="0">
                  <c:v>Touch surface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demographic!$B$50:$B$56</c:f>
              <c:numCache>
                <c:formatCode>General</c:formatCode>
                <c:ptCount val="7"/>
                <c:pt idx="0">
                  <c:v>7</c:v>
                </c:pt>
                <c:pt idx="1">
                  <c:v>6</c:v>
                </c:pt>
                <c:pt idx="2">
                  <c:v>5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</c:numCache>
            </c:numRef>
          </c:cat>
          <c:val>
            <c:numRef>
              <c:f>demographic!$F$50:$F$56</c:f>
              <c:numCache>
                <c:formatCode>General</c:formatCode>
                <c:ptCount val="7"/>
                <c:pt idx="0">
                  <c:v>14</c:v>
                </c:pt>
                <c:pt idx="1">
                  <c:v>6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740-5D4F-83C0-F1C76C8665E2}"/>
            </c:ext>
          </c:extLst>
        </c:ser>
        <c:ser>
          <c:idx val="4"/>
          <c:order val="4"/>
          <c:tx>
            <c:strRef>
              <c:f>demographic!$G$49</c:f>
              <c:strCache>
                <c:ptCount val="1"/>
                <c:pt idx="0">
                  <c:v>Kinect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demographic!$B$50:$B$56</c:f>
              <c:numCache>
                <c:formatCode>General</c:formatCode>
                <c:ptCount val="7"/>
                <c:pt idx="0">
                  <c:v>7</c:v>
                </c:pt>
                <c:pt idx="1">
                  <c:v>6</c:v>
                </c:pt>
                <c:pt idx="2">
                  <c:v>5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</c:numCache>
            </c:numRef>
          </c:cat>
          <c:val>
            <c:numRef>
              <c:f>demographic!$G$50:$G$56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740-5D4F-83C0-F1C76C866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52152800"/>
        <c:axId val="788062688"/>
      </c:barChart>
      <c:catAx>
        <c:axId val="1452152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788062688"/>
        <c:crosses val="autoZero"/>
        <c:auto val="1"/>
        <c:lblAlgn val="ctr"/>
        <c:lblOffset val="100"/>
        <c:noMultiLvlLbl val="0"/>
      </c:catAx>
      <c:valAx>
        <c:axId val="78806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45215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692150</xdr:colOff>
      <xdr:row>44</xdr:row>
      <xdr:rowOff>63500</xdr:rowOff>
    </xdr:from>
    <xdr:to>
      <xdr:col>17</xdr:col>
      <xdr:colOff>342900</xdr:colOff>
      <xdr:row>59</xdr:row>
      <xdr:rowOff>177800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E0AA97D-0ABD-7428-A786-18DA3B77D0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406400</xdr:colOff>
      <xdr:row>60</xdr:row>
      <xdr:rowOff>101600</xdr:rowOff>
    </xdr:from>
    <xdr:to>
      <xdr:col>17</xdr:col>
      <xdr:colOff>698500</xdr:colOff>
      <xdr:row>78</xdr:row>
      <xdr:rowOff>152400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4F29434-EB26-5582-9ECF-6612EE1E86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254000</xdr:colOff>
      <xdr:row>17</xdr:row>
      <xdr:rowOff>101600</xdr:rowOff>
    </xdr:from>
    <xdr:to>
      <xdr:col>16</xdr:col>
      <xdr:colOff>76200</xdr:colOff>
      <xdr:row>35</xdr:row>
      <xdr:rowOff>127000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AC0ED05-BEAE-B1E6-37D1-94243835F0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536164</xdr:colOff>
      <xdr:row>31</xdr:row>
      <xdr:rowOff>24018</xdr:rowOff>
    </xdr:from>
    <xdr:to>
      <xdr:col>11</xdr:col>
      <xdr:colOff>538204</xdr:colOff>
      <xdr:row>45</xdr:row>
      <xdr:rowOff>100218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9E718F04-C1D3-5C30-9CC9-F26615158C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247650</xdr:colOff>
      <xdr:row>36</xdr:row>
      <xdr:rowOff>190500</xdr:rowOff>
    </xdr:from>
    <xdr:to>
      <xdr:col>28</xdr:col>
      <xdr:colOff>381000</xdr:colOff>
      <xdr:row>69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8B94F8-531A-E917-1D71-44EF3F5777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19D56-A5AD-704F-A97D-B9327326E165}">
  <dimension ref="A3:AI67"/>
  <sheetViews>
    <sheetView tabSelected="1" topLeftCell="Y1" zoomScale="193" zoomScaleNormal="193" workbookViewId="0">
      <selection activeCell="AH14" sqref="AH14"/>
    </sheetView>
  </sheetViews>
  <sheetFormatPr baseColWidth="10" defaultRowHeight="16" x14ac:dyDescent="0.2"/>
  <cols>
    <col min="1" max="1" width="26.33203125" bestFit="1" customWidth="1"/>
    <col min="5" max="5" width="16.33203125" customWidth="1"/>
  </cols>
  <sheetData>
    <row r="3" spans="1:35" x14ac:dyDescent="0.2">
      <c r="A3" s="27" t="s">
        <v>79</v>
      </c>
      <c r="B3" s="1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95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15</v>
      </c>
      <c r="R3" s="2" t="s">
        <v>16</v>
      </c>
      <c r="S3" s="2" t="s">
        <v>17</v>
      </c>
      <c r="T3" s="2" t="s">
        <v>8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26</v>
      </c>
      <c r="AD3" s="2" t="s">
        <v>27</v>
      </c>
      <c r="AE3" s="3" t="s">
        <v>28</v>
      </c>
      <c r="AG3" s="22"/>
    </row>
    <row r="4" spans="1:35" x14ac:dyDescent="0.2">
      <c r="A4" s="9" t="s">
        <v>29</v>
      </c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7"/>
    </row>
    <row r="5" spans="1:35" x14ac:dyDescent="0.2">
      <c r="A5" s="4" t="s">
        <v>30</v>
      </c>
      <c r="B5" s="8" t="s">
        <v>31</v>
      </c>
      <c r="C5" s="8" t="s">
        <v>31</v>
      </c>
      <c r="D5" s="8" t="s">
        <v>31</v>
      </c>
      <c r="E5" s="8" t="s">
        <v>31</v>
      </c>
      <c r="F5" s="8" t="s">
        <v>31</v>
      </c>
      <c r="G5" s="8" t="s">
        <v>31</v>
      </c>
      <c r="H5" s="8" t="s">
        <v>31</v>
      </c>
      <c r="I5" s="8" t="s">
        <v>31</v>
      </c>
      <c r="J5" s="8" t="s">
        <v>31</v>
      </c>
      <c r="K5" s="8" t="s">
        <v>31</v>
      </c>
      <c r="L5" s="8" t="s">
        <v>31</v>
      </c>
      <c r="M5" s="8" t="s">
        <v>98</v>
      </c>
      <c r="N5" s="8" t="s">
        <v>31</v>
      </c>
      <c r="O5" s="8" t="s">
        <v>31</v>
      </c>
      <c r="P5" s="8" t="s">
        <v>31</v>
      </c>
      <c r="Q5" s="8" t="s">
        <v>31</v>
      </c>
      <c r="R5" s="8" t="s">
        <v>31</v>
      </c>
      <c r="S5" s="8" t="s">
        <v>31</v>
      </c>
      <c r="T5" s="8" t="s">
        <v>31</v>
      </c>
      <c r="U5" s="8" t="s">
        <v>31</v>
      </c>
      <c r="V5" s="8" t="s">
        <v>98</v>
      </c>
      <c r="W5" s="8" t="s">
        <v>31</v>
      </c>
      <c r="X5" s="8" t="s">
        <v>98</v>
      </c>
      <c r="Y5" s="8" t="s">
        <v>98</v>
      </c>
      <c r="Z5" s="8" t="s">
        <v>31</v>
      </c>
      <c r="AA5" s="8"/>
      <c r="AB5" s="8"/>
      <c r="AC5" s="8"/>
      <c r="AD5" s="8"/>
      <c r="AE5" s="8"/>
    </row>
    <row r="6" spans="1:35" x14ac:dyDescent="0.2">
      <c r="A6" s="4" t="s">
        <v>32</v>
      </c>
      <c r="B6" s="8">
        <v>25</v>
      </c>
      <c r="C6" s="8">
        <v>25</v>
      </c>
      <c r="D6" s="8">
        <v>20</v>
      </c>
      <c r="E6" s="8">
        <v>22</v>
      </c>
      <c r="F6" s="8">
        <v>21</v>
      </c>
      <c r="G6" s="8">
        <v>19</v>
      </c>
      <c r="H6" s="8">
        <v>23</v>
      </c>
      <c r="I6" s="8">
        <v>21</v>
      </c>
      <c r="J6" s="8">
        <v>23</v>
      </c>
      <c r="K6" s="8">
        <v>29</v>
      </c>
      <c r="L6" s="8">
        <v>25</v>
      </c>
      <c r="M6" s="8">
        <v>21</v>
      </c>
      <c r="N6" s="8">
        <v>29</v>
      </c>
      <c r="O6" s="8">
        <v>25</v>
      </c>
      <c r="P6" s="8">
        <v>22</v>
      </c>
      <c r="Q6" s="8">
        <v>26</v>
      </c>
      <c r="R6" s="8">
        <v>36</v>
      </c>
      <c r="S6" s="8">
        <v>31</v>
      </c>
      <c r="T6" s="8">
        <v>20</v>
      </c>
      <c r="U6" s="8">
        <v>30</v>
      </c>
      <c r="V6" s="8">
        <v>21</v>
      </c>
      <c r="W6" s="8">
        <v>38</v>
      </c>
      <c r="X6" s="8">
        <v>25</v>
      </c>
      <c r="Y6" s="8">
        <v>26</v>
      </c>
      <c r="Z6" s="8">
        <v>25</v>
      </c>
      <c r="AA6" s="8"/>
      <c r="AB6" s="8"/>
      <c r="AC6" s="8"/>
      <c r="AD6" s="8"/>
      <c r="AE6" s="8"/>
    </row>
    <row r="7" spans="1:35" x14ac:dyDescent="0.2">
      <c r="A7" s="4" t="s">
        <v>33</v>
      </c>
      <c r="B7" s="8" t="s">
        <v>91</v>
      </c>
      <c r="C7" s="8" t="s">
        <v>91</v>
      </c>
      <c r="D7" s="8" t="s">
        <v>69</v>
      </c>
      <c r="E7" s="8" t="s">
        <v>69</v>
      </c>
      <c r="F7" s="8" t="s">
        <v>69</v>
      </c>
      <c r="G7" s="8" t="s">
        <v>69</v>
      </c>
      <c r="H7" s="8" t="s">
        <v>69</v>
      </c>
      <c r="I7" s="8" t="s">
        <v>69</v>
      </c>
      <c r="J7" s="8" t="s">
        <v>69</v>
      </c>
      <c r="K7" s="8" t="s">
        <v>69</v>
      </c>
      <c r="L7" s="8" t="s">
        <v>91</v>
      </c>
      <c r="M7" s="8" t="s">
        <v>69</v>
      </c>
      <c r="N7" s="8" t="s">
        <v>91</v>
      </c>
      <c r="O7" s="8" t="s">
        <v>69</v>
      </c>
      <c r="P7" s="8" t="s">
        <v>69</v>
      </c>
      <c r="Q7" s="8" t="s">
        <v>91</v>
      </c>
      <c r="R7" s="8" t="s">
        <v>91</v>
      </c>
      <c r="S7" s="8" t="s">
        <v>91</v>
      </c>
      <c r="T7" s="8" t="s">
        <v>69</v>
      </c>
      <c r="U7" s="8" t="s">
        <v>91</v>
      </c>
      <c r="V7" s="8" t="s">
        <v>69</v>
      </c>
      <c r="W7" s="8" t="s">
        <v>91</v>
      </c>
      <c r="X7" s="8" t="s">
        <v>69</v>
      </c>
      <c r="Y7" s="8" t="s">
        <v>91</v>
      </c>
      <c r="Z7" s="8" t="s">
        <v>91</v>
      </c>
      <c r="AA7" s="8"/>
      <c r="AB7" s="8"/>
      <c r="AC7" s="8"/>
      <c r="AD7" s="8"/>
      <c r="AE7" s="8"/>
    </row>
    <row r="8" spans="1:35" x14ac:dyDescent="0.2">
      <c r="A8" s="4" t="s">
        <v>34</v>
      </c>
      <c r="B8" s="8" t="s">
        <v>92</v>
      </c>
      <c r="C8" s="8" t="s">
        <v>92</v>
      </c>
      <c r="D8" s="8" t="s">
        <v>92</v>
      </c>
      <c r="E8" s="8" t="s">
        <v>92</v>
      </c>
      <c r="F8" s="8" t="s">
        <v>92</v>
      </c>
      <c r="G8" s="8" t="s">
        <v>92</v>
      </c>
      <c r="H8" s="8" t="s">
        <v>92</v>
      </c>
      <c r="I8" s="8" t="s">
        <v>92</v>
      </c>
      <c r="J8" s="8" t="s">
        <v>92</v>
      </c>
      <c r="K8" s="8" t="s">
        <v>92</v>
      </c>
      <c r="L8" s="8" t="s">
        <v>92</v>
      </c>
      <c r="M8" s="8" t="s">
        <v>99</v>
      </c>
      <c r="N8" s="8" t="s">
        <v>92</v>
      </c>
      <c r="O8" s="8" t="s">
        <v>92</v>
      </c>
      <c r="P8" s="8" t="s">
        <v>92</v>
      </c>
      <c r="Q8" s="8" t="s">
        <v>92</v>
      </c>
      <c r="R8" s="8" t="s">
        <v>102</v>
      </c>
      <c r="S8" s="8" t="s">
        <v>92</v>
      </c>
      <c r="T8" s="8" t="s">
        <v>92</v>
      </c>
      <c r="U8" s="8" t="s">
        <v>92</v>
      </c>
      <c r="V8" s="8" t="s">
        <v>101</v>
      </c>
      <c r="W8" s="8" t="s">
        <v>92</v>
      </c>
      <c r="X8" s="8" t="s">
        <v>92</v>
      </c>
      <c r="Y8" s="8" t="s">
        <v>92</v>
      </c>
      <c r="Z8" s="8" t="s">
        <v>92</v>
      </c>
      <c r="AA8" s="8"/>
      <c r="AB8" s="8"/>
      <c r="AC8" s="8"/>
      <c r="AD8" s="8"/>
      <c r="AE8" s="8"/>
    </row>
    <row r="9" spans="1:35" x14ac:dyDescent="0.2">
      <c r="A9" s="4" t="s">
        <v>35</v>
      </c>
      <c r="B9" s="8" t="s">
        <v>31</v>
      </c>
      <c r="C9" s="8" t="s">
        <v>31</v>
      </c>
      <c r="D9" s="8" t="s">
        <v>93</v>
      </c>
      <c r="E9" s="8" t="s">
        <v>93</v>
      </c>
      <c r="F9" s="8" t="s">
        <v>93</v>
      </c>
      <c r="G9" s="8" t="s">
        <v>94</v>
      </c>
      <c r="H9" s="8" t="s">
        <v>93</v>
      </c>
      <c r="I9" s="8" t="s">
        <v>93</v>
      </c>
      <c r="J9" s="8" t="s">
        <v>31</v>
      </c>
      <c r="K9" s="8" t="s">
        <v>31</v>
      </c>
      <c r="L9" s="8" t="s">
        <v>31</v>
      </c>
      <c r="M9" s="8" t="s">
        <v>93</v>
      </c>
      <c r="N9" s="8" t="s">
        <v>31</v>
      </c>
      <c r="O9" s="8" t="s">
        <v>31</v>
      </c>
      <c r="P9" s="8" t="s">
        <v>31</v>
      </c>
      <c r="Q9" s="8" t="s">
        <v>31</v>
      </c>
      <c r="R9" s="8" t="s">
        <v>100</v>
      </c>
      <c r="S9" s="8" t="s">
        <v>31</v>
      </c>
      <c r="T9" s="8" t="s">
        <v>93</v>
      </c>
      <c r="U9" s="8" t="s">
        <v>31</v>
      </c>
      <c r="V9" s="8" t="s">
        <v>93</v>
      </c>
      <c r="W9" s="8" t="s">
        <v>100</v>
      </c>
      <c r="X9" s="8" t="s">
        <v>31</v>
      </c>
      <c r="Y9" s="8" t="s">
        <v>31</v>
      </c>
      <c r="Z9" s="8" t="s">
        <v>31</v>
      </c>
      <c r="AA9" s="8"/>
      <c r="AB9" s="8"/>
      <c r="AC9" s="8"/>
      <c r="AD9" s="8"/>
      <c r="AE9" s="8"/>
      <c r="AG9" t="s">
        <v>104</v>
      </c>
      <c r="AH9" t="s">
        <v>31</v>
      </c>
      <c r="AI9" t="s">
        <v>105</v>
      </c>
    </row>
    <row r="10" spans="1:35" x14ac:dyDescent="0.2">
      <c r="A10" s="4" t="s">
        <v>36</v>
      </c>
      <c r="B10" s="8">
        <v>7</v>
      </c>
      <c r="C10" s="8">
        <v>7</v>
      </c>
      <c r="D10" s="8">
        <v>7</v>
      </c>
      <c r="E10" s="8">
        <v>7</v>
      </c>
      <c r="F10" s="8">
        <v>7</v>
      </c>
      <c r="G10" s="8">
        <v>7</v>
      </c>
      <c r="H10" s="8">
        <v>7</v>
      </c>
      <c r="I10" s="8">
        <v>7</v>
      </c>
      <c r="J10" s="8">
        <v>7</v>
      </c>
      <c r="K10" s="8">
        <v>7</v>
      </c>
      <c r="L10" s="8">
        <v>7</v>
      </c>
      <c r="M10" s="8">
        <v>7</v>
      </c>
      <c r="N10" s="8">
        <v>7</v>
      </c>
      <c r="O10" s="8">
        <v>7</v>
      </c>
      <c r="P10" s="8">
        <v>7</v>
      </c>
      <c r="Q10" s="8">
        <v>7</v>
      </c>
      <c r="R10" s="8">
        <v>7</v>
      </c>
      <c r="S10" s="8">
        <v>7</v>
      </c>
      <c r="T10" s="8">
        <v>6</v>
      </c>
      <c r="U10" s="8">
        <v>7</v>
      </c>
      <c r="V10" s="8">
        <v>7</v>
      </c>
      <c r="W10" s="8">
        <v>7</v>
      </c>
      <c r="X10" s="8">
        <v>7</v>
      </c>
      <c r="Y10" s="8">
        <v>7</v>
      </c>
      <c r="Z10" s="8">
        <v>7</v>
      </c>
      <c r="AA10" s="8"/>
      <c r="AB10" s="8"/>
      <c r="AC10" s="8"/>
      <c r="AD10" s="8"/>
      <c r="AE10" s="8"/>
      <c r="AG10">
        <f>AVERAGE(B10:Z10)</f>
        <v>6.96</v>
      </c>
      <c r="AH10">
        <f>MEDIAN(B10:Z10)</f>
        <v>7</v>
      </c>
      <c r="AI10" s="31">
        <f>STDEV(B10:Z10)</f>
        <v>0.20000000000000004</v>
      </c>
    </row>
    <row r="11" spans="1:35" x14ac:dyDescent="0.2">
      <c r="A11" s="4" t="s">
        <v>37</v>
      </c>
      <c r="B11" s="8">
        <v>7</v>
      </c>
      <c r="C11" s="8">
        <v>6</v>
      </c>
      <c r="D11" s="8">
        <v>7</v>
      </c>
      <c r="E11" s="8">
        <v>7</v>
      </c>
      <c r="F11" s="8">
        <v>7</v>
      </c>
      <c r="G11" s="8">
        <v>7</v>
      </c>
      <c r="H11" s="8">
        <v>7</v>
      </c>
      <c r="I11" s="8">
        <v>7</v>
      </c>
      <c r="J11" s="8">
        <v>6</v>
      </c>
      <c r="K11" s="8">
        <v>7</v>
      </c>
      <c r="L11" s="8">
        <v>6</v>
      </c>
      <c r="M11" s="8">
        <v>7</v>
      </c>
      <c r="N11" s="8">
        <v>7</v>
      </c>
      <c r="O11" s="8">
        <v>7</v>
      </c>
      <c r="P11" s="8">
        <v>7</v>
      </c>
      <c r="Q11" s="8">
        <v>6</v>
      </c>
      <c r="R11" s="8">
        <v>7</v>
      </c>
      <c r="S11" s="8">
        <v>7</v>
      </c>
      <c r="T11" s="8">
        <v>6</v>
      </c>
      <c r="U11" s="8">
        <v>7</v>
      </c>
      <c r="V11" s="8">
        <v>7</v>
      </c>
      <c r="W11" s="8">
        <v>7</v>
      </c>
      <c r="X11" s="8">
        <v>7</v>
      </c>
      <c r="Y11" s="8">
        <v>7</v>
      </c>
      <c r="Z11" s="8">
        <v>7</v>
      </c>
      <c r="AA11" s="8"/>
      <c r="AB11" s="8"/>
      <c r="AC11" s="8"/>
      <c r="AD11" s="8"/>
      <c r="AE11" s="8"/>
      <c r="AG11">
        <f>AVERAGE(B11:Z11)</f>
        <v>6.8</v>
      </c>
      <c r="AH11">
        <f>MEDIAN(B11:Z11)</f>
        <v>7</v>
      </c>
      <c r="AI11" s="31">
        <f>STDEV(B11:Z11)</f>
        <v>0.40824829046386296</v>
      </c>
    </row>
    <row r="12" spans="1:35" x14ac:dyDescent="0.2">
      <c r="A12" s="4" t="s">
        <v>75</v>
      </c>
      <c r="B12" s="8">
        <v>7</v>
      </c>
      <c r="C12" s="8">
        <v>1</v>
      </c>
      <c r="D12" s="8">
        <v>1</v>
      </c>
      <c r="E12" s="8">
        <v>1</v>
      </c>
      <c r="F12" s="8">
        <v>1</v>
      </c>
      <c r="G12" s="8">
        <v>2</v>
      </c>
      <c r="H12" s="8">
        <v>3</v>
      </c>
      <c r="I12" s="8">
        <v>1</v>
      </c>
      <c r="J12" s="8">
        <v>1</v>
      </c>
      <c r="K12" s="8">
        <v>1</v>
      </c>
      <c r="L12" s="8">
        <v>1</v>
      </c>
      <c r="M12" s="8">
        <v>1</v>
      </c>
      <c r="N12" s="8">
        <v>1</v>
      </c>
      <c r="O12" s="8">
        <v>1</v>
      </c>
      <c r="P12" s="8">
        <v>1</v>
      </c>
      <c r="Q12" s="8">
        <v>1</v>
      </c>
      <c r="R12" s="8">
        <v>1</v>
      </c>
      <c r="S12" s="8">
        <v>1</v>
      </c>
      <c r="T12" s="8">
        <v>1</v>
      </c>
      <c r="U12" s="8">
        <v>4</v>
      </c>
      <c r="V12" s="8">
        <v>2</v>
      </c>
      <c r="W12" s="8">
        <v>1</v>
      </c>
      <c r="X12" s="8">
        <v>1</v>
      </c>
      <c r="Y12" s="8">
        <v>1</v>
      </c>
      <c r="Z12" s="8">
        <v>6</v>
      </c>
      <c r="AA12" s="8"/>
      <c r="AB12" s="8"/>
      <c r="AC12" s="8"/>
      <c r="AD12" s="8"/>
      <c r="AE12" s="8"/>
      <c r="AG12">
        <f t="shared" ref="AG12:AG14" si="0">AVERAGE(B12:Z12)</f>
        <v>1.72</v>
      </c>
      <c r="AH12">
        <f t="shared" ref="AH12:AH14" si="1">MEDIAN(B12:Z12)</f>
        <v>1</v>
      </c>
      <c r="AI12" s="31">
        <f t="shared" ref="AI12:AI14" si="2">STDEV(B12:Z12)</f>
        <v>1.6206994374857624</v>
      </c>
    </row>
    <row r="13" spans="1:35" x14ac:dyDescent="0.2">
      <c r="A13" s="4" t="s">
        <v>42</v>
      </c>
      <c r="B13" s="8">
        <v>1</v>
      </c>
      <c r="C13" s="8">
        <v>6</v>
      </c>
      <c r="D13" s="8">
        <v>7</v>
      </c>
      <c r="E13" s="8">
        <v>4</v>
      </c>
      <c r="F13" s="8">
        <v>7</v>
      </c>
      <c r="G13" s="8">
        <v>7</v>
      </c>
      <c r="H13" s="8">
        <v>7</v>
      </c>
      <c r="I13" s="8">
        <v>1</v>
      </c>
      <c r="J13" s="8">
        <v>6</v>
      </c>
      <c r="K13" s="8">
        <v>7</v>
      </c>
      <c r="L13" s="8">
        <v>6</v>
      </c>
      <c r="M13" s="8">
        <v>7</v>
      </c>
      <c r="N13" s="8">
        <v>7</v>
      </c>
      <c r="O13" s="8">
        <v>7</v>
      </c>
      <c r="P13" s="8">
        <v>2</v>
      </c>
      <c r="Q13" s="8">
        <v>6</v>
      </c>
      <c r="R13" s="8">
        <v>7</v>
      </c>
      <c r="S13" s="8">
        <v>7</v>
      </c>
      <c r="T13" s="8">
        <v>6</v>
      </c>
      <c r="U13" s="8">
        <v>7</v>
      </c>
      <c r="V13" s="8">
        <v>4</v>
      </c>
      <c r="W13" s="8">
        <v>7</v>
      </c>
      <c r="X13" s="8">
        <v>7</v>
      </c>
      <c r="Y13" s="8">
        <v>7</v>
      </c>
      <c r="Z13" s="8">
        <v>6</v>
      </c>
      <c r="AA13" s="8"/>
      <c r="AB13" s="8"/>
      <c r="AC13" s="8"/>
      <c r="AD13" s="8"/>
      <c r="AE13" s="8"/>
      <c r="AG13">
        <f t="shared" si="0"/>
        <v>5.84</v>
      </c>
      <c r="AH13">
        <f>MEDIAN(B13:Z13)</f>
        <v>7</v>
      </c>
      <c r="AI13" s="31">
        <f t="shared" si="2"/>
        <v>1.9078784028338915</v>
      </c>
    </row>
    <row r="14" spans="1:35" x14ac:dyDescent="0.2">
      <c r="A14" s="4" t="s">
        <v>38</v>
      </c>
      <c r="B14" s="8">
        <v>1</v>
      </c>
      <c r="C14" s="8">
        <v>1</v>
      </c>
      <c r="D14" s="8">
        <v>1</v>
      </c>
      <c r="E14" s="8">
        <v>1</v>
      </c>
      <c r="F14" s="8">
        <v>1</v>
      </c>
      <c r="G14" s="8">
        <v>1</v>
      </c>
      <c r="H14" s="8">
        <v>5</v>
      </c>
      <c r="I14" s="8">
        <v>1</v>
      </c>
      <c r="J14" s="8">
        <v>2</v>
      </c>
      <c r="K14" s="8">
        <v>1</v>
      </c>
      <c r="L14" s="8">
        <v>1</v>
      </c>
      <c r="M14" s="8">
        <v>3</v>
      </c>
      <c r="N14" s="8">
        <v>1</v>
      </c>
      <c r="O14" s="8">
        <v>1</v>
      </c>
      <c r="P14" s="8">
        <v>1</v>
      </c>
      <c r="Q14" s="8">
        <v>1</v>
      </c>
      <c r="R14" s="8">
        <v>1</v>
      </c>
      <c r="S14" s="8">
        <v>1</v>
      </c>
      <c r="T14" s="8">
        <v>1</v>
      </c>
      <c r="U14" s="8">
        <v>1</v>
      </c>
      <c r="V14" s="8">
        <v>1</v>
      </c>
      <c r="W14" s="8">
        <v>1</v>
      </c>
      <c r="X14" s="8">
        <v>1</v>
      </c>
      <c r="Y14" s="8">
        <v>1</v>
      </c>
      <c r="Z14" s="8">
        <v>1</v>
      </c>
      <c r="AA14" s="8"/>
      <c r="AB14" s="8"/>
      <c r="AC14" s="8"/>
      <c r="AD14" s="8"/>
      <c r="AE14" s="8"/>
      <c r="AG14">
        <f t="shared" si="0"/>
        <v>1.28</v>
      </c>
      <c r="AH14">
        <f t="shared" si="1"/>
        <v>1</v>
      </c>
      <c r="AI14" s="31">
        <f t="shared" si="2"/>
        <v>0.89069261439249248</v>
      </c>
    </row>
    <row r="15" spans="1:35" x14ac:dyDescent="0.2">
      <c r="A15" s="4" t="s">
        <v>39</v>
      </c>
      <c r="B15" s="8" t="s">
        <v>63</v>
      </c>
      <c r="C15" s="8" t="s">
        <v>63</v>
      </c>
      <c r="D15" s="8" t="s">
        <v>63</v>
      </c>
      <c r="E15" s="8" t="s">
        <v>63</v>
      </c>
      <c r="F15" s="8" t="s">
        <v>63</v>
      </c>
      <c r="G15" s="8" t="s">
        <v>63</v>
      </c>
      <c r="H15" s="8" t="s">
        <v>63</v>
      </c>
      <c r="I15" s="8" t="s">
        <v>63</v>
      </c>
      <c r="J15" s="8" t="s">
        <v>63</v>
      </c>
      <c r="K15" s="8" t="s">
        <v>63</v>
      </c>
      <c r="L15" s="8" t="s">
        <v>63</v>
      </c>
      <c r="M15" s="8" t="s">
        <v>63</v>
      </c>
      <c r="N15" s="8" t="s">
        <v>63</v>
      </c>
      <c r="O15" s="8" t="s">
        <v>63</v>
      </c>
      <c r="P15" s="8" t="s">
        <v>63</v>
      </c>
      <c r="Q15" s="8" t="s">
        <v>63</v>
      </c>
      <c r="R15" s="8" t="s">
        <v>63</v>
      </c>
      <c r="S15" s="8" t="s">
        <v>63</v>
      </c>
      <c r="T15" s="8" t="s">
        <v>63</v>
      </c>
      <c r="U15" s="8" t="s">
        <v>63</v>
      </c>
      <c r="V15" s="8" t="s">
        <v>63</v>
      </c>
      <c r="W15" s="8" t="s">
        <v>63</v>
      </c>
      <c r="X15" s="8" t="s">
        <v>63</v>
      </c>
      <c r="Y15" s="8" t="s">
        <v>63</v>
      </c>
      <c r="Z15" s="8" t="s">
        <v>63</v>
      </c>
      <c r="AA15" s="8"/>
      <c r="AB15" s="8"/>
      <c r="AC15" s="8"/>
      <c r="AD15" s="8"/>
      <c r="AE15" s="8"/>
    </row>
    <row r="16" spans="1:35" x14ac:dyDescent="0.2">
      <c r="A16" s="4" t="s">
        <v>40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</row>
    <row r="17" spans="1:31" x14ac:dyDescent="0.2">
      <c r="A17" s="9" t="s">
        <v>41</v>
      </c>
      <c r="B17" s="8" t="s">
        <v>68</v>
      </c>
      <c r="C17" s="8" t="s">
        <v>68</v>
      </c>
      <c r="D17" s="8" t="s">
        <v>68</v>
      </c>
      <c r="E17" s="8" t="s">
        <v>68</v>
      </c>
      <c r="F17" s="8" t="s">
        <v>68</v>
      </c>
      <c r="G17" s="8" t="s">
        <v>68</v>
      </c>
      <c r="H17" s="8" t="s">
        <v>93</v>
      </c>
      <c r="I17" s="8" t="s">
        <v>93</v>
      </c>
      <c r="J17" s="8" t="s">
        <v>68</v>
      </c>
      <c r="K17" s="8" t="s">
        <v>68</v>
      </c>
      <c r="L17" s="8" t="s">
        <v>68</v>
      </c>
      <c r="M17" s="8" t="s">
        <v>68</v>
      </c>
      <c r="N17" s="8" t="s">
        <v>68</v>
      </c>
      <c r="O17" s="8" t="s">
        <v>68</v>
      </c>
      <c r="P17" s="8" t="s">
        <v>68</v>
      </c>
      <c r="Q17" s="8" t="s">
        <v>68</v>
      </c>
      <c r="R17" s="8" t="s">
        <v>93</v>
      </c>
      <c r="S17" s="8" t="s">
        <v>68</v>
      </c>
      <c r="T17" s="8" t="s">
        <v>68</v>
      </c>
      <c r="U17" s="8" t="s">
        <v>68</v>
      </c>
      <c r="V17" s="8" t="s">
        <v>68</v>
      </c>
      <c r="W17" s="8" t="s">
        <v>68</v>
      </c>
      <c r="X17" s="8" t="s">
        <v>68</v>
      </c>
      <c r="Y17" s="8" t="s">
        <v>103</v>
      </c>
      <c r="Z17" s="8" t="s">
        <v>68</v>
      </c>
      <c r="AA17" s="8"/>
      <c r="AB17" s="8"/>
      <c r="AC17" s="8"/>
      <c r="AD17" s="8"/>
      <c r="AE17" s="8"/>
    </row>
    <row r="19" spans="1:31" x14ac:dyDescent="0.2">
      <c r="A19" s="22" t="s">
        <v>62</v>
      </c>
      <c r="C19">
        <f>SUM(C20:C22)</f>
        <v>25</v>
      </c>
    </row>
    <row r="20" spans="1:31" x14ac:dyDescent="0.2">
      <c r="A20" s="10" t="s">
        <v>43</v>
      </c>
      <c r="B20" s="11" t="s">
        <v>44</v>
      </c>
      <c r="C20" s="12" cm="1">
        <f t="array" ref="C20">SUMPRODUCT(LEN(B5:AE5)-LEN(SUBSTITUTE(B5:AE5,"F","")))</f>
        <v>4</v>
      </c>
      <c r="E20" t="s">
        <v>90</v>
      </c>
      <c r="F20">
        <f>C21/C20</f>
        <v>5.25</v>
      </c>
    </row>
    <row r="21" spans="1:31" x14ac:dyDescent="0.2">
      <c r="A21" s="16"/>
      <c r="B21" s="17" t="s">
        <v>45</v>
      </c>
      <c r="C21" s="21" cm="1">
        <f t="array" ref="C21">SUMPRODUCT(LEN(B5:AE5)-LEN(SUBSTITUTE(B5:AE5,"M","")))</f>
        <v>21</v>
      </c>
    </row>
    <row r="22" spans="1:31" x14ac:dyDescent="0.2">
      <c r="A22" s="13"/>
      <c r="B22" s="14" t="s">
        <v>60</v>
      </c>
      <c r="C22" s="15" cm="1">
        <f t="array" ref="C22">SUMPRODUCT(LEN(B5:AE5)-LEN(SUBSTITUTE(B5:AE5,"O","")))</f>
        <v>0</v>
      </c>
    </row>
    <row r="23" spans="1:31" x14ac:dyDescent="0.2">
      <c r="A23" s="16" t="s">
        <v>32</v>
      </c>
      <c r="B23" s="17" t="s">
        <v>46</v>
      </c>
      <c r="C23" s="18">
        <f>AVERAGE(B6:AE6)</f>
        <v>25.12</v>
      </c>
    </row>
    <row r="24" spans="1:31" x14ac:dyDescent="0.2">
      <c r="A24" s="16"/>
      <c r="B24" s="17" t="s">
        <v>96</v>
      </c>
      <c r="C24" s="18">
        <f>MIN(B6:AE6)</f>
        <v>19</v>
      </c>
    </row>
    <row r="25" spans="1:31" x14ac:dyDescent="0.2">
      <c r="A25" s="16"/>
      <c r="B25" s="17" t="s">
        <v>97</v>
      </c>
      <c r="C25" s="18">
        <f>MAX(B6:AE6)</f>
        <v>38</v>
      </c>
    </row>
    <row r="26" spans="1:31" x14ac:dyDescent="0.2">
      <c r="A26" s="19"/>
      <c r="B26" s="17" t="s">
        <v>47</v>
      </c>
      <c r="C26" s="18">
        <f>MEDIAN(B6:AE6)</f>
        <v>25</v>
      </c>
    </row>
    <row r="27" spans="1:31" x14ac:dyDescent="0.2">
      <c r="A27" s="19"/>
      <c r="B27" s="17" t="s">
        <v>48</v>
      </c>
      <c r="C27" s="18">
        <f>_xlfn.VAR.P(B6:AE6)</f>
        <v>22.425599999999999</v>
      </c>
    </row>
    <row r="28" spans="1:31" x14ac:dyDescent="0.2">
      <c r="A28" s="19"/>
      <c r="B28" s="17" t="s">
        <v>49</v>
      </c>
      <c r="C28" s="18">
        <f>_xlfn.STDEV.P(B6:AE6)</f>
        <v>4.7355675478235977</v>
      </c>
    </row>
    <row r="29" spans="1:31" x14ac:dyDescent="0.2">
      <c r="A29" s="19"/>
      <c r="B29" s="17" t="s">
        <v>50</v>
      </c>
      <c r="C29" s="18">
        <f>_xlfn.CONFIDENCE.NORM(C31, C28, C19)</f>
        <v>1.8563083680181818</v>
      </c>
    </row>
    <row r="30" spans="1:31" x14ac:dyDescent="0.2">
      <c r="A30" s="19"/>
      <c r="B30" s="17" t="s">
        <v>51</v>
      </c>
      <c r="C30" s="18">
        <f>C27^2</f>
        <v>502.90753536</v>
      </c>
    </row>
    <row r="31" spans="1:31" x14ac:dyDescent="0.2">
      <c r="A31" s="13"/>
      <c r="B31" s="20" t="s">
        <v>52</v>
      </c>
      <c r="C31" s="15">
        <v>0.05</v>
      </c>
    </row>
    <row r="33" spans="1:4" x14ac:dyDescent="0.2">
      <c r="A33" s="10" t="s">
        <v>53</v>
      </c>
      <c r="B33" s="11" t="s">
        <v>54</v>
      </c>
      <c r="C33" s="12" cm="1">
        <f t="array" ref="C33">SUMPRODUCT(LEN(B7:AE7)-LEN(SUBSTITUTE(B7:AE7,"S","")))</f>
        <v>14</v>
      </c>
      <c r="D33" s="30">
        <f>C33/C40</f>
        <v>0.56000000000000005</v>
      </c>
    </row>
    <row r="34" spans="1:4" x14ac:dyDescent="0.2">
      <c r="A34" s="19"/>
      <c r="B34" s="17" t="s">
        <v>55</v>
      </c>
      <c r="C34" s="21" cm="1">
        <f t="array" ref="C34">SUMPRODUCT(LEN(B7:AE7)-LEN(SUBSTITUTE(B7:AE7,"X","")))</f>
        <v>0</v>
      </c>
      <c r="D34" s="30"/>
    </row>
    <row r="35" spans="1:4" x14ac:dyDescent="0.2">
      <c r="A35" s="19"/>
      <c r="B35" s="17" t="s">
        <v>56</v>
      </c>
      <c r="C35" s="21" cm="1">
        <f t="array" ref="C35">SUMPRODUCT(LEN(B7:AE7)-LEN(SUBSTITUTE(B7:AE7,"E","")))</f>
        <v>11</v>
      </c>
      <c r="D35" s="30">
        <f>C35/C40</f>
        <v>0.44</v>
      </c>
    </row>
    <row r="36" spans="1:4" x14ac:dyDescent="0.2">
      <c r="A36" s="19"/>
      <c r="B36" s="17" t="s">
        <v>57</v>
      </c>
      <c r="C36" s="21" cm="1">
        <f t="array" ref="C36">SUMPRODUCT(LEN(B7:AE7)-LEN(SUBSTITUTE(B7:AE7,"I","")))</f>
        <v>0</v>
      </c>
    </row>
    <row r="37" spans="1:4" x14ac:dyDescent="0.2">
      <c r="A37" s="19"/>
      <c r="B37" s="17" t="s">
        <v>58</v>
      </c>
      <c r="C37" s="21" cm="1">
        <f t="array" ref="C37">SUMPRODUCT(LEN(B7:AE7)-LEN(SUBSTITUTE(B7:AE7,"R","")))</f>
        <v>0</v>
      </c>
    </row>
    <row r="38" spans="1:4" x14ac:dyDescent="0.2">
      <c r="A38" s="19"/>
      <c r="B38" s="17" t="s">
        <v>59</v>
      </c>
      <c r="C38" s="21" cm="1">
        <f t="array" ref="C38">SUMPRODUCT(LEN(B7:AE7)-LEN(SUBSTITUTE(B7:AE7,"U","")))</f>
        <v>0</v>
      </c>
    </row>
    <row r="39" spans="1:4" x14ac:dyDescent="0.2">
      <c r="A39" s="13"/>
      <c r="B39" s="14" t="s">
        <v>60</v>
      </c>
      <c r="C39" s="15" cm="1">
        <f t="array" ref="C39">SUMPRODUCT(LEN(B7:AE7)-LEN(SUBSTITUTE(B7:AE7,"O","")))</f>
        <v>0</v>
      </c>
    </row>
    <row r="40" spans="1:4" x14ac:dyDescent="0.2">
      <c r="B40" t="s">
        <v>61</v>
      </c>
      <c r="C40">
        <f>SUM(C33:C39)</f>
        <v>25</v>
      </c>
    </row>
    <row r="43" spans="1:4" x14ac:dyDescent="0.2">
      <c r="A43" s="10" t="s">
        <v>64</v>
      </c>
      <c r="B43" s="11" t="s">
        <v>65</v>
      </c>
      <c r="C43" s="12" cm="1">
        <f t="array" ref="C43">SUMPRODUCT(LEN(B17:AE17)-LEN(SUBSTITUTE(B17:AE17,"L","")))</f>
        <v>3</v>
      </c>
    </row>
    <row r="44" spans="1:4" x14ac:dyDescent="0.2">
      <c r="A44" s="19"/>
      <c r="B44" s="17" t="s">
        <v>66</v>
      </c>
      <c r="C44" s="21" cm="1">
        <f t="array" ref="C44">SUMPRODUCT(LEN(B17:AE17)-LEN(SUBSTITUTE(B17:AE17,"R","")))</f>
        <v>21</v>
      </c>
    </row>
    <row r="45" spans="1:4" x14ac:dyDescent="0.2">
      <c r="A45" s="13"/>
      <c r="B45" s="14" t="s">
        <v>67</v>
      </c>
      <c r="C45" s="15" cm="1">
        <f t="array" ref="C45">SUMPRODUCT(LEN(B17:AE17)-LEN(SUBSTITUTE(B17:AE17,"A","")))</f>
        <v>0</v>
      </c>
    </row>
    <row r="46" spans="1:4" x14ac:dyDescent="0.2">
      <c r="B46" s="23" t="s">
        <v>61</v>
      </c>
      <c r="C46" s="23">
        <f>SUM(C43:C45)</f>
        <v>24</v>
      </c>
    </row>
    <row r="49" spans="1:10" x14ac:dyDescent="0.2">
      <c r="A49" s="10"/>
      <c r="B49" s="23" t="s">
        <v>70</v>
      </c>
      <c r="C49" s="23" t="s">
        <v>71</v>
      </c>
      <c r="D49" s="23" t="s">
        <v>72</v>
      </c>
      <c r="E49" s="23" t="s">
        <v>76</v>
      </c>
      <c r="F49" s="23" t="s">
        <v>77</v>
      </c>
      <c r="G49" s="23" t="s">
        <v>73</v>
      </c>
      <c r="H49" s="23" t="s">
        <v>78</v>
      </c>
    </row>
    <row r="50" spans="1:10" x14ac:dyDescent="0.2">
      <c r="A50" s="29" t="s">
        <v>74</v>
      </c>
      <c r="B50" s="24">
        <v>7</v>
      </c>
      <c r="C50" s="11" cm="1">
        <f t="array" ref="C50">SUMPRODUCT(LEN($B$10:$AE$10)-LEN(SUBSTITUTE($B$10:$AE$10,$B50,"")))</f>
        <v>24</v>
      </c>
      <c r="D50" s="11" cm="1">
        <f t="array" ref="D50">SUMPRODUCT(LEN($B$11:$AE$11)-LEN(SUBSTITUTE($B$11:$AE$11,$B50,"")))</f>
        <v>20</v>
      </c>
      <c r="E50" s="11" cm="1">
        <f t="array" ref="E50">SUMPRODUCT(LEN($B$12:$AE$12)-LEN(SUBSTITUTE($B$12:$AE$12,$B50,"")))</f>
        <v>1</v>
      </c>
      <c r="F50" s="11" cm="1">
        <f t="array" ref="F50">SUMPRODUCT(LEN($B$13:$AE$13)-LEN(SUBSTITUTE($B$13:$AE$13,$B50,"")))</f>
        <v>14</v>
      </c>
      <c r="G50" s="11" cm="1">
        <f t="array" ref="G50">SUMPRODUCT(LEN($B$14:$AE$14)-LEN(SUBSTITUTE($B$14:$AE$14,$AI50,"")))</f>
        <v>0</v>
      </c>
      <c r="H50" s="12">
        <f t="shared" ref="H50:H56" si="3">SUMPRODUCT(LEN($B$18:$AE$18)-LEN(SUBSTITUTE($B$18:$AE$18,$AI50,"")))</f>
        <v>0</v>
      </c>
    </row>
    <row r="51" spans="1:10" x14ac:dyDescent="0.2">
      <c r="A51" s="19"/>
      <c r="B51" s="25">
        <v>6</v>
      </c>
      <c r="C51" s="17" cm="1">
        <f t="array" ref="C51">SUMPRODUCT(LEN($B$10:$AE$10)-LEN(SUBSTITUTE($B$10:$AE$10,$B51,"")))</f>
        <v>1</v>
      </c>
      <c r="D51" s="17" cm="1">
        <f t="array" ref="D51">SUMPRODUCT(LEN($B$11:$AE$11)-LEN(SUBSTITUTE($B$11:$AE$11,$B51,"")))</f>
        <v>5</v>
      </c>
      <c r="E51" s="17" cm="1">
        <f t="array" ref="E51">SUMPRODUCT(LEN($B$12:$AE$12)-LEN(SUBSTITUTE($B$12:$AE$12,$B51,"")))</f>
        <v>1</v>
      </c>
      <c r="F51" s="17" cm="1">
        <f t="array" ref="F51">SUMPRODUCT(LEN($B$13:$AE$13)-LEN(SUBSTITUTE($B$13:$AE$13,$B51,"")))</f>
        <v>6</v>
      </c>
      <c r="G51" s="17" cm="1">
        <f t="array" ref="G51">SUMPRODUCT(LEN($B$14:$AE$14)-LEN(SUBSTITUTE($B$14:$AE$14,$AI51,"")))</f>
        <v>0</v>
      </c>
      <c r="H51" s="21">
        <f t="shared" si="3"/>
        <v>0</v>
      </c>
    </row>
    <row r="52" spans="1:10" x14ac:dyDescent="0.2">
      <c r="A52" s="19"/>
      <c r="B52" s="25">
        <v>5</v>
      </c>
      <c r="C52" s="17" cm="1">
        <f t="array" ref="C52">SUMPRODUCT(LEN($B$10:$AE$10)-LEN(SUBSTITUTE($B$10:$AE$10,$B52,"")))</f>
        <v>0</v>
      </c>
      <c r="D52" s="17" cm="1">
        <f t="array" ref="D52">SUMPRODUCT(LEN($B$11:$AE$11)-LEN(SUBSTITUTE($B$11:$AE$11,$B52,"")))</f>
        <v>0</v>
      </c>
      <c r="E52" s="17" cm="1">
        <f t="array" ref="E52">SUMPRODUCT(LEN($B$12:$AE$12)-LEN(SUBSTITUTE($B$12:$AE$12,$B52,"")))</f>
        <v>0</v>
      </c>
      <c r="F52" s="17" cm="1">
        <f t="array" ref="F52">SUMPRODUCT(LEN($B$13:$AE$13)-LEN(SUBSTITUTE($B$13:$AE$13,$B52,"")))</f>
        <v>0</v>
      </c>
      <c r="G52" s="17" cm="1">
        <f t="array" ref="G52">SUMPRODUCT(LEN($B$14:$AE$14)-LEN(SUBSTITUTE($B$14:$AE$14,$AI52,"")))</f>
        <v>0</v>
      </c>
      <c r="H52" s="21">
        <f t="shared" si="3"/>
        <v>0</v>
      </c>
    </row>
    <row r="53" spans="1:10" x14ac:dyDescent="0.2">
      <c r="A53" s="19"/>
      <c r="B53" s="25">
        <v>4</v>
      </c>
      <c r="C53" s="17" cm="1">
        <f t="array" ref="C53">SUMPRODUCT(LEN($B$10:$AE$10)-LEN(SUBSTITUTE($B$10:$AE$10,$B53,"")))</f>
        <v>0</v>
      </c>
      <c r="D53" s="17" cm="1">
        <f t="array" ref="D53">SUMPRODUCT(LEN($B$11:$AE$11)-LEN(SUBSTITUTE($B$11:$AE$11,$B53,"")))</f>
        <v>0</v>
      </c>
      <c r="E53" s="17" cm="1">
        <f t="array" ref="E53">SUMPRODUCT(LEN($B$12:$AE$12)-LEN(SUBSTITUTE($B$12:$AE$12,$B53,"")))</f>
        <v>1</v>
      </c>
      <c r="F53" s="17" cm="1">
        <f t="array" ref="F53">SUMPRODUCT(LEN($B$13:$AE$13)-LEN(SUBSTITUTE($B$13:$AE$13,$B53,"")))</f>
        <v>2</v>
      </c>
      <c r="G53" s="17" cm="1">
        <f t="array" ref="G53">SUMPRODUCT(LEN($B$14:$AE$14)-LEN(SUBSTITUTE($B$14:$AE$14,$AI53,"")))</f>
        <v>0</v>
      </c>
      <c r="H53" s="21">
        <f t="shared" si="3"/>
        <v>0</v>
      </c>
    </row>
    <row r="54" spans="1:10" x14ac:dyDescent="0.2">
      <c r="A54" s="19"/>
      <c r="B54" s="25">
        <v>3</v>
      </c>
      <c r="C54" s="17" cm="1">
        <f t="array" ref="C54">SUMPRODUCT(LEN($B$10:$AE$10)-LEN(SUBSTITUTE($B$10:$AE$10,$B54,"")))</f>
        <v>0</v>
      </c>
      <c r="D54" s="17" cm="1">
        <f t="array" ref="D54">SUMPRODUCT(LEN($B$11:$AE$11)-LEN(SUBSTITUTE($B$11:$AE$11,$B54,"")))</f>
        <v>0</v>
      </c>
      <c r="E54" s="17" cm="1">
        <f t="array" ref="E54">SUMPRODUCT(LEN($B$12:$AE$12)-LEN(SUBSTITUTE($B$12:$AE$12,$B54,"")))</f>
        <v>1</v>
      </c>
      <c r="F54" s="17" cm="1">
        <f t="array" ref="F54">SUMPRODUCT(LEN($B$13:$AE$13)-LEN(SUBSTITUTE($B$13:$AE$13,$B54,"")))</f>
        <v>0</v>
      </c>
      <c r="G54" s="17" cm="1">
        <f t="array" ref="G54">SUMPRODUCT(LEN($B$14:$AE$14)-LEN(SUBSTITUTE($B$14:$AE$14,$AI54,"")))</f>
        <v>0</v>
      </c>
      <c r="H54" s="21">
        <f t="shared" si="3"/>
        <v>0</v>
      </c>
    </row>
    <row r="55" spans="1:10" x14ac:dyDescent="0.2">
      <c r="A55" s="19"/>
      <c r="B55" s="25">
        <v>2</v>
      </c>
      <c r="C55" s="17" cm="1">
        <f t="array" ref="C55">SUMPRODUCT(LEN($B$10:$AE$10)-LEN(SUBSTITUTE($B$10:$AE$10,$B55,"")))</f>
        <v>0</v>
      </c>
      <c r="D55" s="17" cm="1">
        <f t="array" ref="D55">SUMPRODUCT(LEN($B$11:$AE$11)-LEN(SUBSTITUTE($B$11:$AE$11,$B55,"")))</f>
        <v>0</v>
      </c>
      <c r="E55" s="17" cm="1">
        <f t="array" ref="E55">SUMPRODUCT(LEN($B$12:$AE$12)-LEN(SUBSTITUTE($B$12:$AE$12,$B55,"")))</f>
        <v>2</v>
      </c>
      <c r="F55" s="17" cm="1">
        <f t="array" ref="F55">SUMPRODUCT(LEN($B$13:$AE$13)-LEN(SUBSTITUTE($B$13:$AE$13,$B55,"")))</f>
        <v>1</v>
      </c>
      <c r="G55" s="17" cm="1">
        <f t="array" ref="G55">SUMPRODUCT(LEN($B$14:$AE$14)-LEN(SUBSTITUTE($B$14:$AE$14,$AI55,"")))</f>
        <v>0</v>
      </c>
      <c r="H55" s="21">
        <f t="shared" si="3"/>
        <v>0</v>
      </c>
    </row>
    <row r="56" spans="1:10" x14ac:dyDescent="0.2">
      <c r="A56" s="26"/>
      <c r="B56" s="26">
        <v>1</v>
      </c>
      <c r="C56" s="14" cm="1">
        <f t="array" ref="C56">SUMPRODUCT(LEN($B$10:$AE$10)-LEN(SUBSTITUTE($B$10:$AE$10,$B56,"")))</f>
        <v>0</v>
      </c>
      <c r="D56" s="14" cm="1">
        <f t="array" ref="D56">SUMPRODUCT(LEN($B$11:$AE$11)-LEN(SUBSTITUTE($B$11:$AE$11,$B56,"")))</f>
        <v>0</v>
      </c>
      <c r="E56" s="14" cm="1">
        <f t="array" ref="E56">SUMPRODUCT(LEN($B$12:$AE$12)-LEN(SUBSTITUTE($B$12:$AE$12,$B56,"")))</f>
        <v>19</v>
      </c>
      <c r="F56" s="14" cm="1">
        <f t="array" ref="F56">SUMPRODUCT(LEN($B$13:$AE$13)-LEN(SUBSTITUTE($B$13:$AE$13,$B56,"")))</f>
        <v>2</v>
      </c>
      <c r="G56" s="14" cm="1">
        <f t="array" ref="G56">SUMPRODUCT(LEN($B$14:$AE$14)-LEN(SUBSTITUTE($B$14:$AE$14,$AI56,"")))</f>
        <v>0</v>
      </c>
      <c r="H56" s="15">
        <f t="shared" si="3"/>
        <v>0</v>
      </c>
    </row>
    <row r="57" spans="1:10" x14ac:dyDescent="0.2">
      <c r="A57" s="23"/>
      <c r="B57" s="23" t="s">
        <v>61</v>
      </c>
      <c r="C57" s="23">
        <f t="shared" ref="C57:H57" si="4">SUM(C50:C56)</f>
        <v>25</v>
      </c>
      <c r="D57" s="23">
        <f t="shared" si="4"/>
        <v>25</v>
      </c>
      <c r="E57" s="23">
        <f t="shared" si="4"/>
        <v>25</v>
      </c>
      <c r="F57" s="23">
        <f t="shared" si="4"/>
        <v>25</v>
      </c>
      <c r="G57" s="23">
        <f t="shared" si="4"/>
        <v>0</v>
      </c>
      <c r="H57" s="23">
        <f t="shared" si="4"/>
        <v>0</v>
      </c>
    </row>
    <row r="60" spans="1:10" x14ac:dyDescent="0.2">
      <c r="B60" t="s">
        <v>81</v>
      </c>
      <c r="C60" s="28" t="s">
        <v>70</v>
      </c>
      <c r="D60" s="28" t="s">
        <v>82</v>
      </c>
      <c r="E60" s="28" t="s">
        <v>83</v>
      </c>
      <c r="F60" s="28" t="s">
        <v>45</v>
      </c>
      <c r="G60" s="28" t="s">
        <v>44</v>
      </c>
      <c r="H60" s="28" t="s">
        <v>60</v>
      </c>
      <c r="J60" s="28"/>
    </row>
    <row r="61" spans="1:10" x14ac:dyDescent="0.2">
      <c r="A61" s="23" t="s">
        <v>80</v>
      </c>
      <c r="B61" s="24" t="s">
        <v>84</v>
      </c>
      <c r="C61" s="11">
        <f>COUNTIFS($B$6:$AE$6,"&lt;=17")</f>
        <v>0</v>
      </c>
      <c r="D61" s="11">
        <f>C61</f>
        <v>0</v>
      </c>
      <c r="E61" s="11">
        <f>D61/$C$19</f>
        <v>0</v>
      </c>
      <c r="F61" s="11">
        <f>COUNTIFS($B$6:$AE$6,"&lt;=17",$B$5:$AE$5,"M")/$C$19</f>
        <v>0</v>
      </c>
      <c r="G61" s="11">
        <f>COUNTIFS($B$6:$AE$6,"&lt;=17",$B$5:$AE$5,"F")/$C$19</f>
        <v>0</v>
      </c>
      <c r="H61" s="11">
        <f>COUNTIFS($B$6:$AE$6,"&lt;=17",$B$5:$AE$5,"O")/$C$19</f>
        <v>0</v>
      </c>
    </row>
    <row r="62" spans="1:10" x14ac:dyDescent="0.2">
      <c r="B62" s="25" t="s">
        <v>85</v>
      </c>
      <c r="C62" s="17">
        <f>COUNTIFS($B$6:$AE$6,"&gt;=18",$B$6:$AE$6,"&lt;=24")</f>
        <v>11</v>
      </c>
      <c r="D62" s="17">
        <f>D61+C62</f>
        <v>11</v>
      </c>
      <c r="E62" s="17">
        <f>D62/$C$19</f>
        <v>0.44</v>
      </c>
      <c r="F62" s="17">
        <f>COUNTIFS($B$6:$AE$6,"&gt;=18",$B$6:$AE$6,"&lt;=24",$B$5:$AE$5,"M")/$C$19</f>
        <v>0.36</v>
      </c>
      <c r="G62" s="17">
        <f>COUNTIFS($B$6:$AE$6,"&gt;=18",$B$6:$AE$6,"&lt;=24",$B$5:$AE$5,"F")/$C$19</f>
        <v>0.08</v>
      </c>
      <c r="H62" s="17">
        <f>COUNTIFS($B$6:$AE$6,"&gt;=18",$B$6:$AE$6,"&lt;=24",$B$5:$AE$5,"O")/$C$19</f>
        <v>0</v>
      </c>
    </row>
    <row r="63" spans="1:10" x14ac:dyDescent="0.2">
      <c r="B63" s="25" t="s">
        <v>86</v>
      </c>
      <c r="C63" s="17">
        <f>COUNTIFS($B$6:$AE$6,"&gt;=25",$B$6:$AE$6,"&lt;=34")</f>
        <v>12</v>
      </c>
      <c r="D63" s="17">
        <f>D62+C63</f>
        <v>23</v>
      </c>
      <c r="E63" s="17">
        <f t="shared" ref="E63:E66" si="5">D63/$C$19</f>
        <v>0.92</v>
      </c>
      <c r="F63" s="17">
        <f>COUNTIFS($B$6:$AE$6,"&gt;=25",$B$6:$AE$6,"&lt;=34",$B$5:$AE$5,"M")/$C$19</f>
        <v>0.4</v>
      </c>
      <c r="G63" s="17">
        <f>COUNTIFS($B$6:$AE$6,"&gt;=25",$B$6:$AE$6,"&lt;=34",$B$5:$AE$5,"F")/$C$19</f>
        <v>0.08</v>
      </c>
      <c r="H63" s="17">
        <f>COUNTIFS($B$6:$AE$6,"&gt;=25",$B$6:$AE$6,"&lt;=34",$B$5:$AE$5,"O")/$C$19</f>
        <v>0</v>
      </c>
    </row>
    <row r="64" spans="1:10" x14ac:dyDescent="0.2">
      <c r="B64" s="25" t="s">
        <v>87</v>
      </c>
      <c r="C64" s="17">
        <f>COUNTIFS($B$6:$AE$6,"&gt;=35",$B$6:$AE$6,"&lt;=44")</f>
        <v>2</v>
      </c>
      <c r="D64" s="17">
        <f>D63+C64</f>
        <v>25</v>
      </c>
      <c r="E64" s="17">
        <f t="shared" si="5"/>
        <v>1</v>
      </c>
      <c r="F64" s="17">
        <f>COUNTIFS($B$6:$AE$6,"&gt;=35",$B$6:$AE$6,"&lt;=44",$B$5:$AE$5,"M")/$C$19</f>
        <v>0.08</v>
      </c>
      <c r="G64" s="17">
        <f>COUNTIFS($B$6:$AE$6,"&gt;=35",$B$6:$AE$6,"&lt;=44",$B$5:$AE$5,"F")/$C$19</f>
        <v>0</v>
      </c>
      <c r="H64" s="17">
        <f>COUNTIFS($B$6:$AE$6,"&gt;=35",$B$6:$AE$6,"&lt;=44",$B$5:$AE$5,"O")/$C$19</f>
        <v>0</v>
      </c>
    </row>
    <row r="65" spans="2:8" x14ac:dyDescent="0.2">
      <c r="B65" s="25" t="s">
        <v>88</v>
      </c>
      <c r="C65" s="17">
        <f>COUNTIFS($B$6:$AE$6,"&gt;=45",$B$6:$AE$6,"&lt;=54")</f>
        <v>0</v>
      </c>
      <c r="D65" s="17">
        <f>D64+C65</f>
        <v>25</v>
      </c>
      <c r="E65" s="17">
        <f t="shared" si="5"/>
        <v>1</v>
      </c>
      <c r="F65" s="17">
        <f>COUNTIFS($B$6:$AE$6,"&gt;=45",$B$6:$AE$6,"&lt;=44",$B$5:$AE$5,"M")/$C$19</f>
        <v>0</v>
      </c>
      <c r="G65" s="17">
        <f>COUNTIFS($B$6:$AE$6,"&gt;=45",$B$6:$AE$6,"&lt;=44",$B$5:$AE$5,"F")/$C$19</f>
        <v>0</v>
      </c>
      <c r="H65" s="17">
        <f>COUNTIFS($B$6:$AE$6,"&gt;=45",$B$6:$AE$6,"&lt;=44",$B$5:$AE$5,"O")/$C$19</f>
        <v>0</v>
      </c>
    </row>
    <row r="66" spans="2:8" x14ac:dyDescent="0.2">
      <c r="B66" s="26" t="s">
        <v>89</v>
      </c>
      <c r="C66" s="14">
        <f>COUNTIFS($B$6:$AE$6,"&gt;=55")</f>
        <v>0</v>
      </c>
      <c r="D66" s="14">
        <f>D65+C66</f>
        <v>25</v>
      </c>
      <c r="E66" s="14">
        <f t="shared" si="5"/>
        <v>1</v>
      </c>
      <c r="F66" s="14">
        <f>COUNTIFS($B$6:$AE$6,"&gt;=55",$B$5:$AE$5,"M")/$C$19</f>
        <v>0</v>
      </c>
      <c r="G66" s="14">
        <f>COUNTIFS($B$6:$AE$6,"&gt;=55",$B$5:$AE$5,"F")/$C$19</f>
        <v>0</v>
      </c>
      <c r="H66" s="14">
        <f>COUNTIFS($B$6:$AE$6,"&gt;=55",$B$5:$AE$5,"O")/$C$19</f>
        <v>0</v>
      </c>
    </row>
    <row r="67" spans="2:8" x14ac:dyDescent="0.2">
      <c r="B67" s="23" t="s">
        <v>61</v>
      </c>
      <c r="C67">
        <f>SUM(C61:C66)</f>
        <v>25</v>
      </c>
    </row>
  </sheetData>
  <pageMargins left="0.7" right="0.7" top="0.75" bottom="0.75" header="0.3" footer="0.3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cf50504-7577-403d-8bfd-cd0f33dbfe10" xsi:nil="true"/>
    <lcf76f155ced4ddcb4097134ff3c332f xmlns="f5952aad-cd65-4de3-8d4e-24c335e63d1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D2991E374CF643A565692E6FA309E6" ma:contentTypeVersion="15" ma:contentTypeDescription="Create a new document." ma:contentTypeScope="" ma:versionID="bf3c971fd2b84cf5805bed21c13f320a">
  <xsd:schema xmlns:xsd="http://www.w3.org/2001/XMLSchema" xmlns:xs="http://www.w3.org/2001/XMLSchema" xmlns:p="http://schemas.microsoft.com/office/2006/metadata/properties" xmlns:ns2="f5952aad-cd65-4de3-8d4e-24c335e63d1a" xmlns:ns3="7cf50504-7577-403d-8bfd-cd0f33dbfe10" targetNamespace="http://schemas.microsoft.com/office/2006/metadata/properties" ma:root="true" ma:fieldsID="a576cfbba1105ff83c94da3679f4ff15" ns2:_="" ns3:_="">
    <xsd:import namespace="f5952aad-cd65-4de3-8d4e-24c335e63d1a"/>
    <xsd:import namespace="7cf50504-7577-403d-8bfd-cd0f33dbfe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952aad-cd65-4de3-8d4e-24c335e63d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73016ee-f6f3-49f5-9926-fe02af74ff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f50504-7577-403d-8bfd-cd0f33dbfe10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1c43c36-afd4-4c95-9c01-6e5305f551f0}" ma:internalName="TaxCatchAll" ma:showField="CatchAllData" ma:web="7cf50504-7577-403d-8bfd-cd0f33dbfe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695D5A-8326-4AF4-89D9-FE872C30EC52}">
  <ds:schemaRefs>
    <ds:schemaRef ds:uri="http://purl.org/dc/elements/1.1/"/>
    <ds:schemaRef ds:uri="f5952aad-cd65-4de3-8d4e-24c335e63d1a"/>
    <ds:schemaRef ds:uri="http://purl.org/dc/dcmitype/"/>
    <ds:schemaRef ds:uri="http://www.w3.org/XML/1998/namespace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7cf50504-7577-403d-8bfd-cd0f33dbfe10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01054C8E-8491-4704-BB2A-0D13CE56CC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90D78D6-AAFF-4EA9-9789-71479B2ADF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demographic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Villarreal Narvaez</dc:creator>
  <cp:lastModifiedBy>Santiago Villarreal Narvaez</cp:lastModifiedBy>
  <dcterms:created xsi:type="dcterms:W3CDTF">2024-04-25T13:38:00Z</dcterms:created>
  <dcterms:modified xsi:type="dcterms:W3CDTF">2024-05-08T13:39:17Z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0x01010059D2991E374CF643A565692E6FA309E6</vt:lpwstr>
  </property>
  <property fmtid="{D5CDD505-2E9C-101B-9397-08002B2CF9AE}" pid="3" name="MediaServiceImageTags">
    <vt:lpwstr/>
  </property>
</Properties>
</file>