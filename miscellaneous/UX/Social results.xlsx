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https://unamurbe.sharepoint.com/sites/ProjetPleMecatechOPTIMIS/Documents partages/General/Touch-Haptic prototype/UX-ISWC/Results/"/>
    </mc:Choice>
  </mc:AlternateContent>
  <xr:revisionPtr revIDLastSave="1024" documentId="11_F25DC773A252ABDACC1048DB49D853925ADE58ED" xr6:coauthVersionLast="47" xr6:coauthVersionMax="47" xr10:uidLastSave="{C5D77F50-2F7E-104F-A554-FC440F4602CF}"/>
  <bookViews>
    <workbookView xWindow="0" yWindow="760" windowWidth="30240" windowHeight="17780" xr2:uid="{00000000-000D-0000-FFFF-FFFF00000000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32" i="1"/>
  <c r="M33" i="1"/>
  <c r="M34" i="1"/>
  <c r="M35" i="1"/>
  <c r="M36" i="1"/>
  <c r="M31" i="1"/>
  <c r="L31" i="1"/>
  <c r="M23" i="1"/>
  <c r="M24" i="1"/>
  <c r="M25" i="1"/>
  <c r="M26" i="1"/>
  <c r="M27" i="1"/>
  <c r="B20" i="1" l="1"/>
  <c r="J63" i="1" l="1" a="1"/>
  <c r="J63" i="1" s="1"/>
  <c r="K72" i="1" s="1"/>
  <c r="K63" i="1" a="1"/>
  <c r="K63" i="1" s="1"/>
  <c r="L72" i="1" s="1"/>
  <c r="L63" i="1" a="1"/>
  <c r="L63" i="1" s="1"/>
  <c r="M72" i="1" s="1"/>
  <c r="M63" i="1" a="1"/>
  <c r="M63" i="1" s="1"/>
  <c r="N72" i="1" s="1"/>
  <c r="I63" i="1" a="1"/>
  <c r="I63" i="1" s="1"/>
  <c r="J72" i="1" s="1"/>
  <c r="J62" i="1" a="1"/>
  <c r="J62" i="1" s="1"/>
  <c r="K71" i="1" s="1"/>
  <c r="K62" i="1" a="1"/>
  <c r="K62" i="1" s="1"/>
  <c r="L71" i="1" s="1"/>
  <c r="L62" i="1" a="1"/>
  <c r="L62" i="1" s="1"/>
  <c r="M71" i="1" s="1"/>
  <c r="M62" i="1" a="1"/>
  <c r="M62" i="1" s="1"/>
  <c r="N71" i="1" s="1"/>
  <c r="I62" i="1" a="1"/>
  <c r="I62" i="1" s="1"/>
  <c r="J71" i="1" s="1"/>
  <c r="J61" i="1" a="1"/>
  <c r="J61" i="1" s="1"/>
  <c r="K70" i="1" s="1"/>
  <c r="K61" i="1" a="1"/>
  <c r="K61" i="1" s="1"/>
  <c r="L70" i="1" s="1"/>
  <c r="L61" i="1" a="1"/>
  <c r="L61" i="1" s="1"/>
  <c r="M70" i="1" s="1"/>
  <c r="M61" i="1" a="1"/>
  <c r="M61" i="1" s="1"/>
  <c r="N70" i="1" s="1"/>
  <c r="I61" i="1" a="1"/>
  <c r="I61" i="1" s="1"/>
  <c r="J70" i="1" s="1"/>
  <c r="O70" i="1" s="1"/>
  <c r="J60" i="1" a="1"/>
  <c r="J60" i="1" s="1"/>
  <c r="K69" i="1" s="1"/>
  <c r="K60" i="1" a="1"/>
  <c r="K60" i="1" s="1"/>
  <c r="L69" i="1" s="1"/>
  <c r="L60" i="1" a="1"/>
  <c r="L60" i="1" s="1"/>
  <c r="M69" i="1" s="1"/>
  <c r="M60" i="1" a="1"/>
  <c r="M60" i="1" s="1"/>
  <c r="N69" i="1" s="1"/>
  <c r="I60" i="1" a="1"/>
  <c r="I60" i="1" s="1"/>
  <c r="J69" i="1" s="1"/>
  <c r="I59" i="1" a="1"/>
  <c r="I59" i="1" s="1"/>
  <c r="J68" i="1" s="1"/>
  <c r="J59" i="1" a="1"/>
  <c r="J59" i="1" s="1"/>
  <c r="K68" i="1" s="1"/>
  <c r="K59" i="1" a="1"/>
  <c r="K59" i="1" s="1"/>
  <c r="L68" i="1" s="1"/>
  <c r="L59" i="1" a="1"/>
  <c r="L59" i="1" s="1"/>
  <c r="M68" i="1" s="1"/>
  <c r="M59" i="1" a="1"/>
  <c r="M59" i="1" s="1"/>
  <c r="N68" i="1" s="1"/>
  <c r="I58" i="1" a="1"/>
  <c r="I58" i="1" s="1"/>
  <c r="J67" i="1" s="1"/>
  <c r="M58" i="1" a="1"/>
  <c r="M58" i="1" s="1"/>
  <c r="N67" i="1" s="1"/>
  <c r="J58" i="1" a="1"/>
  <c r="J58" i="1" s="1"/>
  <c r="K67" i="1" s="1"/>
  <c r="K58" i="1" a="1"/>
  <c r="K58" i="1" s="1"/>
  <c r="L67" i="1" s="1"/>
  <c r="L58" i="1" a="1"/>
  <c r="L58" i="1" s="1"/>
  <c r="M67" i="1" s="1"/>
  <c r="I44" i="1" a="1"/>
  <c r="I44" i="1" s="1"/>
  <c r="J53" i="1" s="1"/>
  <c r="J44" i="1" a="1"/>
  <c r="J44" i="1" s="1"/>
  <c r="K53" i="1" s="1"/>
  <c r="K44" i="1" a="1"/>
  <c r="K44" i="1" s="1"/>
  <c r="L53" i="1" s="1"/>
  <c r="L44" i="1" a="1"/>
  <c r="L44" i="1" s="1"/>
  <c r="M53" i="1" s="1"/>
  <c r="M44" i="1" a="1"/>
  <c r="M44" i="1" s="1"/>
  <c r="N53" i="1" s="1"/>
  <c r="I43" i="1" a="1"/>
  <c r="I43" i="1" s="1"/>
  <c r="J52" i="1" s="1"/>
  <c r="J43" i="1" a="1"/>
  <c r="J43" i="1" s="1"/>
  <c r="K52" i="1" s="1"/>
  <c r="K43" i="1" a="1"/>
  <c r="K43" i="1" s="1"/>
  <c r="L52" i="1" s="1"/>
  <c r="L43" i="1" a="1"/>
  <c r="L43" i="1" s="1"/>
  <c r="M52" i="1" s="1"/>
  <c r="M43" i="1" a="1"/>
  <c r="M43" i="1" s="1"/>
  <c r="N52" i="1" s="1"/>
  <c r="I42" i="1" a="1"/>
  <c r="I42" i="1" s="1"/>
  <c r="J51" i="1" s="1"/>
  <c r="J42" i="1" a="1"/>
  <c r="J42" i="1" s="1"/>
  <c r="K51" i="1" s="1"/>
  <c r="K42" i="1" a="1"/>
  <c r="K42" i="1" s="1"/>
  <c r="L51" i="1" s="1"/>
  <c r="L42" i="1" a="1"/>
  <c r="L42" i="1" s="1"/>
  <c r="M51" i="1" s="1"/>
  <c r="M42" i="1" a="1"/>
  <c r="M42" i="1" s="1"/>
  <c r="N51" i="1" s="1"/>
  <c r="I41" i="1" a="1"/>
  <c r="I41" i="1" s="1"/>
  <c r="J50" i="1" s="1"/>
  <c r="J41" i="1" a="1"/>
  <c r="J41" i="1" s="1"/>
  <c r="K50" i="1" s="1"/>
  <c r="K41" i="1" a="1"/>
  <c r="K41" i="1" s="1"/>
  <c r="L50" i="1" s="1"/>
  <c r="L41" i="1" a="1"/>
  <c r="L41" i="1" s="1"/>
  <c r="M50" i="1" s="1"/>
  <c r="M41" i="1" a="1"/>
  <c r="M41" i="1" s="1"/>
  <c r="N50" i="1" s="1"/>
  <c r="I40" i="1" a="1"/>
  <c r="I40" i="1" s="1"/>
  <c r="J49" i="1" s="1"/>
  <c r="J39" i="1" a="1"/>
  <c r="J39" i="1" s="1"/>
  <c r="K48" i="1" s="1"/>
  <c r="I39" i="1" a="1"/>
  <c r="I39" i="1" s="1"/>
  <c r="J48" i="1" s="1"/>
  <c r="M40" i="1" a="1"/>
  <c r="M40" i="1" s="1"/>
  <c r="N49" i="1" s="1"/>
  <c r="J40" i="1" a="1"/>
  <c r="J40" i="1" s="1"/>
  <c r="K49" i="1" s="1"/>
  <c r="K40" i="1" a="1"/>
  <c r="K40" i="1" s="1"/>
  <c r="L49" i="1" s="1"/>
  <c r="L40" i="1" a="1"/>
  <c r="L40" i="1" s="1"/>
  <c r="M49" i="1" s="1"/>
  <c r="L39" i="1" a="1"/>
  <c r="L39" i="1" s="1"/>
  <c r="M48" i="1" s="1"/>
  <c r="K39" i="1" a="1"/>
  <c r="K39" i="1" s="1"/>
  <c r="L48" i="1" s="1"/>
  <c r="M39" i="1" a="1"/>
  <c r="M39" i="1" s="1"/>
  <c r="N48" i="1" s="1"/>
  <c r="I32" i="1"/>
  <c r="N32" i="1" s="1"/>
  <c r="J32" i="1"/>
  <c r="K32" i="1"/>
  <c r="L32" i="1"/>
  <c r="I33" i="1"/>
  <c r="N33" i="1" s="1"/>
  <c r="J33" i="1"/>
  <c r="K33" i="1"/>
  <c r="L33" i="1"/>
  <c r="I34" i="1"/>
  <c r="N34" i="1" s="1"/>
  <c r="J34" i="1"/>
  <c r="K34" i="1"/>
  <c r="L34" i="1"/>
  <c r="I35" i="1"/>
  <c r="N35" i="1" s="1"/>
  <c r="J35" i="1"/>
  <c r="K35" i="1"/>
  <c r="L35" i="1"/>
  <c r="I36" i="1"/>
  <c r="N36" i="1" s="1"/>
  <c r="J36" i="1"/>
  <c r="K36" i="1"/>
  <c r="L36" i="1"/>
  <c r="K31" i="1"/>
  <c r="J31" i="1"/>
  <c r="I31" i="1"/>
  <c r="N31" i="1" s="1"/>
  <c r="I23" i="1"/>
  <c r="N23" i="1" s="1"/>
  <c r="J23" i="1"/>
  <c r="K23" i="1"/>
  <c r="L23" i="1"/>
  <c r="I24" i="1"/>
  <c r="N24" i="1" s="1"/>
  <c r="J24" i="1"/>
  <c r="K24" i="1"/>
  <c r="L24" i="1"/>
  <c r="I25" i="1"/>
  <c r="N25" i="1" s="1"/>
  <c r="J25" i="1"/>
  <c r="K25" i="1"/>
  <c r="L25" i="1"/>
  <c r="I26" i="1"/>
  <c r="N26" i="1" s="1"/>
  <c r="J26" i="1"/>
  <c r="K26" i="1"/>
  <c r="L26" i="1"/>
  <c r="I27" i="1"/>
  <c r="N27" i="1" s="1"/>
  <c r="J27" i="1"/>
  <c r="K27" i="1"/>
  <c r="L27" i="1"/>
  <c r="L22" i="1"/>
  <c r="K22" i="1"/>
  <c r="J22" i="1"/>
  <c r="I22" i="1"/>
  <c r="N22" i="1" s="1"/>
  <c r="O72" i="1" l="1"/>
  <c r="I72" i="1"/>
  <c r="O48" i="1"/>
  <c r="I70" i="1"/>
  <c r="O50" i="1"/>
  <c r="O49" i="1"/>
  <c r="I67" i="1"/>
  <c r="O69" i="1"/>
  <c r="O71" i="1"/>
  <c r="I69" i="1"/>
  <c r="I71" i="1"/>
  <c r="I53" i="1"/>
  <c r="O52" i="1"/>
  <c r="I68" i="1"/>
  <c r="I51" i="1"/>
  <c r="O51" i="1"/>
  <c r="I50" i="1"/>
  <c r="O67" i="1"/>
  <c r="I48" i="1"/>
  <c r="I49" i="1"/>
  <c r="I52" i="1"/>
  <c r="O53" i="1"/>
  <c r="O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<sst xmlns="http://schemas.openxmlformats.org/spreadsheetml/2006/main" count="105" uniqueCount="57">
  <si>
    <t xml:space="preserve">Public </t>
  </si>
  <si>
    <t>Alone</t>
  </si>
  <si>
    <t>Partner</t>
  </si>
  <si>
    <t>Friends</t>
  </si>
  <si>
    <t>Colleagues</t>
  </si>
  <si>
    <t>Strangers</t>
  </si>
  <si>
    <t>Family</t>
  </si>
  <si>
    <t>p1</t>
  </si>
  <si>
    <t>p2</t>
  </si>
  <si>
    <t>Location</t>
  </si>
  <si>
    <t>Home</t>
  </si>
  <si>
    <t>Sidewalk</t>
  </si>
  <si>
    <t>Driving</t>
  </si>
  <si>
    <t>Restaurant</t>
  </si>
  <si>
    <t>Workplace</t>
  </si>
  <si>
    <t>Passenger on bus/train</t>
  </si>
  <si>
    <t>p4</t>
  </si>
  <si>
    <t>p3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</si>
  <si>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</si>
  <si>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</si>
  <si>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</si>
  <si>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</si>
  <si>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</si>
  <si>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</si>
  <si>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</si>
  <si>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</si>
  <si>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</si>
  <si>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</si>
  <si>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</si>
  <si>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</si>
  <si>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</si>
  <si>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</si>
  <si>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</si>
  <si>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</si>
  <si>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</si>
  <si>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</si>
  <si>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</si>
  <si>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</si>
  <si>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</si>
  <si>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</si>
  <si>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</si>
  <si>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</si>
  <si>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</si>
  <si>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</si>
  <si>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Min</t>
  </si>
  <si>
    <t>Max</t>
  </si>
  <si>
    <t>SD</t>
  </si>
  <si>
    <t>Number of Participants</t>
  </si>
  <si>
    <t>Left</t>
  </si>
  <si>
    <t>Very comfortable</t>
  </si>
  <si>
    <t>Comfortable</t>
  </si>
  <si>
    <t>Neutral</t>
  </si>
  <si>
    <t>Uncomfortable</t>
  </si>
  <si>
    <t>Very uncomfortable</t>
  </si>
  <si>
    <t>Right</t>
  </si>
  <si>
    <t>M=</t>
  </si>
  <si>
    <t>Avg=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</si>
</sst>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quotePrefix="1"/>
    <xf numFmtId="9" fontId="0" fillId="0" borderId="0" xfId="1" applyFont="1"/>
    <xf numFmtId="9" fontId="0" fillId="0" borderId="0" xfId="0" applyNumberFormat="1"/>
    <xf numFmtId="2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Results!$I$30</c:f>
              <c:strCache>
                <c:ptCount val="1"/>
                <c:pt idx="0">
                  <c:v>Avg=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Results!$H$31:$H$36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Results!$I$31:$I$36</c:f>
              <c:numCache>
                <c:formatCode>General</c:formatCode>
                <c:ptCount val="6"/>
                <c:pt idx="0">
                  <c:v>4.84</c:v>
                </c:pt>
                <c:pt idx="1">
                  <c:v>2.04</c:v>
                </c:pt>
                <c:pt idx="2">
                  <c:v>3.08</c:v>
                </c:pt>
                <c:pt idx="3">
                  <c:v>3.6</c:v>
                </c:pt>
                <c:pt idx="4">
                  <c:v>2.88</c:v>
                </c:pt>
                <c:pt idx="5">
                  <c:v>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6-4307-AB89-D5E8DC8234F0}"/>
            </c:ext>
          </c:extLst>
        </c:ser>
        <c:ser>
          <c:idx val="1"/>
          <c:order val="1"/>
          <c:tx>
            <c:strRef>
              <c:f>Results!$M$30</c:f>
              <c:strCache>
                <c:ptCount val="1"/>
                <c:pt idx="0">
                  <c:v>M=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Results!$H$31:$H$36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Results!$M$31:$M$36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6-1348-A55B-B17DFE7FF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629144127"/>
        <c:axId val="1629145087"/>
      </c:barChart>
      <c:catAx>
        <c:axId val="1629144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29145087"/>
        <c:crosses val="autoZero"/>
        <c:auto val="1"/>
        <c:lblAlgn val="ctr"/>
        <c:lblOffset val="100"/>
        <c:noMultiLvlLbl val="0"/>
      </c:catAx>
      <c:valAx>
        <c:axId val="162914508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2914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Results!$I$38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Results!$H$39:$H$44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Results!$I$39:$I$44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C-544E-B087-CA03EE9B98B8}"/>
            </c:ext>
          </c:extLst>
        </c:ser>
        <c:ser>
          <c:idx val="1"/>
          <c:order val="1"/>
          <c:tx>
            <c:strRef>
              <c:f>Results!$J$38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Results!$H$39:$H$44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Results!$J$39:$J$44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0C-544E-B087-CA03EE9B98B8}"/>
            </c:ext>
          </c:extLst>
        </c:ser>
        <c:ser>
          <c:idx val="2"/>
          <c:order val="2"/>
          <c:tx>
            <c:strRef>
              <c:f>Results!$K$38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Results!$H$39:$H$44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Results!$K$39:$K$44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C-544E-B087-CA03EE9B98B8}"/>
            </c:ext>
          </c:extLst>
        </c:ser>
        <c:ser>
          <c:idx val="3"/>
          <c:order val="3"/>
          <c:tx>
            <c:strRef>
              <c:f>Results!$L$38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Results!$H$39:$H$44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Results!$L$39:$L$44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8</c:v>
                </c:pt>
                <c:pt idx="4">
                  <c:v>2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0C-544E-B087-CA03EE9B98B8}"/>
            </c:ext>
          </c:extLst>
        </c:ser>
        <c:ser>
          <c:idx val="4"/>
          <c:order val="4"/>
          <c:tx>
            <c:strRef>
              <c:f>Results!$M$38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Results!$H$39:$H$44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Results!$M$39:$M$44</c:f>
              <c:numCache>
                <c:formatCode>General</c:formatCode>
                <c:ptCount val="6"/>
                <c:pt idx="0">
                  <c:v>19</c:v>
                </c:pt>
                <c:pt idx="1">
                  <c:v>12</c:v>
                </c:pt>
                <c:pt idx="2">
                  <c:v>14</c:v>
                </c:pt>
                <c:pt idx="3">
                  <c:v>7</c:v>
                </c:pt>
                <c:pt idx="4">
                  <c:v>2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0C-544E-B087-CA03EE9B98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2770639"/>
        <c:axId val="255486224"/>
      </c:barChart>
      <c:catAx>
        <c:axId val="62277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255486224"/>
        <c:crosses val="autoZero"/>
        <c:auto val="1"/>
        <c:lblAlgn val="ctr"/>
        <c:lblOffset val="100"/>
        <c:noMultiLvlLbl val="0"/>
      </c:catAx>
      <c:valAx>
        <c:axId val="25548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2277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Results!$I$57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Results!$H$58:$H$63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Results!$I$58:$I$63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7-A64C-8AD2-996123B279C2}"/>
            </c:ext>
          </c:extLst>
        </c:ser>
        <c:ser>
          <c:idx val="1"/>
          <c:order val="1"/>
          <c:tx>
            <c:strRef>
              <c:f>Results!$J$57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Results!$H$58:$H$63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Results!$J$58:$J$63</c:f>
              <c:numCache>
                <c:formatCode>General</c:formatCode>
                <c:ptCount val="6"/>
                <c:pt idx="0">
                  <c:v>0</c:v>
                </c:pt>
                <c:pt idx="1">
                  <c:v>9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7-A64C-8AD2-996123B279C2}"/>
            </c:ext>
          </c:extLst>
        </c:ser>
        <c:ser>
          <c:idx val="2"/>
          <c:order val="2"/>
          <c:tx>
            <c:strRef>
              <c:f>Results!$K$57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Results!$H$58:$H$63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Results!$K$58:$K$63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F7-A64C-8AD2-996123B279C2}"/>
            </c:ext>
          </c:extLst>
        </c:ser>
        <c:ser>
          <c:idx val="3"/>
          <c:order val="3"/>
          <c:tx>
            <c:strRef>
              <c:f>Results!$L$57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Results!$H$58:$H$63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Results!$L$58:$L$63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F7-A64C-8AD2-996123B279C2}"/>
            </c:ext>
          </c:extLst>
        </c:ser>
        <c:ser>
          <c:idx val="4"/>
          <c:order val="4"/>
          <c:tx>
            <c:strRef>
              <c:f>Results!$M$57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Results!$H$58:$H$63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Results!$M$58:$M$63</c:f>
              <c:numCache>
                <c:formatCode>General</c:formatCode>
                <c:ptCount val="6"/>
                <c:pt idx="0">
                  <c:v>22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7-A64C-8AD2-996123B2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9927920"/>
        <c:axId val="1449914095"/>
      </c:barChart>
      <c:catAx>
        <c:axId val="167992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49914095"/>
        <c:crosses val="autoZero"/>
        <c:auto val="1"/>
        <c:lblAlgn val="ctr"/>
        <c:lblOffset val="100"/>
        <c:noMultiLvlLbl val="0"/>
      </c:catAx>
      <c:valAx>
        <c:axId val="144991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6799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08188755507946"/>
          <c:y val="1.7155633323612328E-2"/>
          <c:w val="0.86949034245894574"/>
          <c:h val="0.877723972901744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Results!$I$47</c:f>
              <c:strCache>
                <c:ptCount val="1"/>
                <c:pt idx="0">
                  <c:v>Left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Results!$H$48:$H$53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Results!$I$48:$I$53</c:f>
              <c:numCache>
                <c:formatCode>0%</c:formatCode>
                <c:ptCount val="6"/>
                <c:pt idx="0">
                  <c:v>0.98</c:v>
                </c:pt>
                <c:pt idx="1">
                  <c:v>0.9</c:v>
                </c:pt>
                <c:pt idx="2">
                  <c:v>0.8600000000000001</c:v>
                </c:pt>
                <c:pt idx="3">
                  <c:v>0.72000000000000008</c:v>
                </c:pt>
                <c:pt idx="4">
                  <c:v>0.38</c:v>
                </c:pt>
                <c:pt idx="5">
                  <c:v>0.90000000000000013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A-9B46-B2E0-EC65FB47702D}"/>
            </c:ext>
          </c:extLst>
        </c:ser>
        <c:ser>
          <c:idx val="1"/>
          <c:order val="1"/>
          <c:tx>
            <c:strRef>
              <c:f>Results!$J$47</c:f>
              <c:strCache>
                <c:ptCount val="1"/>
                <c:pt idx="0">
                  <c:v>Very uncomfortable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2A-9B46-B2E0-EC65FB47702D}"/>
                </c:ext>
              </c:extLst>
            </c:dLbl>
            <c:dLbl>
              <c:idx val="1"/>
              <c:layout>
                <c:manualLayout>
                  <c:x val="-1.3213078277725082E-2"/>
                  <c:y val="1.48626539525607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207041904117622E-2"/>
                      <c:h val="5.37735054137935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6A8-7B42-9098-3D0C11921B8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2A-9B46-B2E0-EC65FB47702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2A-9B46-B2E0-EC65FB4770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Results!$H$48:$H$53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Results!$J$48:$J$53</c:f>
              <c:numCache>
                <c:formatCode>0%</c:formatCode>
                <c:ptCount val="6"/>
                <c:pt idx="0">
                  <c:v>0</c:v>
                </c:pt>
                <c:pt idx="1">
                  <c:v>0.04</c:v>
                </c:pt>
                <c:pt idx="2">
                  <c:v>0</c:v>
                </c:pt>
                <c:pt idx="3">
                  <c:v>0.08</c:v>
                </c:pt>
                <c:pt idx="4">
                  <c:v>0.2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2A-9B46-B2E0-EC65FB47702D}"/>
            </c:ext>
          </c:extLst>
        </c:ser>
        <c:ser>
          <c:idx val="2"/>
          <c:order val="2"/>
          <c:tx>
            <c:strRef>
              <c:f>Results!$K$47</c:f>
              <c:strCache>
                <c:ptCount val="1"/>
                <c:pt idx="0">
                  <c:v>Uncomfortable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2A-9B46-B2E0-EC65FB47702D}"/>
                </c:ext>
              </c:extLst>
            </c:dLbl>
            <c:dLbl>
              <c:idx val="1"/>
              <c:layout>
                <c:manualLayout>
                  <c:x val="0"/>
                  <c:y val="-1.089923947804146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D7-F845-9B97-C5E7A96DEA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Results!$H$48:$H$53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Results!$K$48:$K$53</c:f>
              <c:numCache>
                <c:formatCode>0%</c:formatCode>
                <c:ptCount val="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0.08</c:v>
                </c:pt>
                <c:pt idx="4">
                  <c:v>0.2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2A-9B46-B2E0-EC65FB47702D}"/>
            </c:ext>
          </c:extLst>
        </c:ser>
        <c:ser>
          <c:idx val="3"/>
          <c:order val="3"/>
          <c:tx>
            <c:strRef>
              <c:f>Results!$L$47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0276793705099718E-2"/>
                  <c:y val="-2.08078793751551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C2A-9B46-B2E0-EC65FB4770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Results!$H$48:$H$53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Results!$L$48:$L$53</c:f>
              <c:numCache>
                <c:formatCode>0%</c:formatCode>
                <c:ptCount val="6"/>
                <c:pt idx="0">
                  <c:v>0.04</c:v>
                </c:pt>
                <c:pt idx="1">
                  <c:v>0.04</c:v>
                </c:pt>
                <c:pt idx="2">
                  <c:v>0.12</c:v>
                </c:pt>
                <c:pt idx="3">
                  <c:v>0.24</c:v>
                </c:pt>
                <c:pt idx="4">
                  <c:v>0.44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2A-9B46-B2E0-EC65FB47702D}"/>
            </c:ext>
          </c:extLst>
        </c:ser>
        <c:ser>
          <c:idx val="4"/>
          <c:order val="4"/>
          <c:tx>
            <c:strRef>
              <c:f>Results!$M$47</c:f>
              <c:strCache>
                <c:ptCount val="1"/>
                <c:pt idx="0">
                  <c:v>Comfortable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Results!$H$48:$H$53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Results!$M$48:$M$53</c:f>
              <c:numCache>
                <c:formatCode>0%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0.24</c:v>
                </c:pt>
                <c:pt idx="3">
                  <c:v>0.32</c:v>
                </c:pt>
                <c:pt idx="4">
                  <c:v>0.08</c:v>
                </c:pt>
                <c:pt idx="5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2A-9B46-B2E0-EC65FB47702D}"/>
            </c:ext>
          </c:extLst>
        </c:ser>
        <c:ser>
          <c:idx val="5"/>
          <c:order val="5"/>
          <c:tx>
            <c:strRef>
              <c:f>Results!$N$47</c:f>
              <c:strCache>
                <c:ptCount val="1"/>
                <c:pt idx="0">
                  <c:v>Very comfortable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Results!$H$48:$H$53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Results!$N$48:$N$53</c:f>
              <c:numCache>
                <c:formatCode>0%</c:formatCode>
                <c:ptCount val="6"/>
                <c:pt idx="0">
                  <c:v>0.76</c:v>
                </c:pt>
                <c:pt idx="1">
                  <c:v>0.48</c:v>
                </c:pt>
                <c:pt idx="2">
                  <c:v>0.56000000000000005</c:v>
                </c:pt>
                <c:pt idx="3">
                  <c:v>0.28000000000000003</c:v>
                </c:pt>
                <c:pt idx="4">
                  <c:v>0.08</c:v>
                </c:pt>
                <c:pt idx="5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2A-9B46-B2E0-EC65FB47702D}"/>
            </c:ext>
          </c:extLst>
        </c:ser>
        <c:ser>
          <c:idx val="6"/>
          <c:order val="6"/>
          <c:tx>
            <c:strRef>
              <c:f>Results!$O$47</c:f>
              <c:strCache>
                <c:ptCount val="1"/>
                <c:pt idx="0">
                  <c:v>Right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Results!$H$48:$H$53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Results!$O$48:$O$53</c:f>
              <c:numCache>
                <c:formatCode>0%</c:formatCode>
                <c:ptCount val="6"/>
                <c:pt idx="0">
                  <c:v>0.02</c:v>
                </c:pt>
                <c:pt idx="1">
                  <c:v>0.1</c:v>
                </c:pt>
                <c:pt idx="2">
                  <c:v>0.14000000000000001</c:v>
                </c:pt>
                <c:pt idx="3">
                  <c:v>0.28000000000000003</c:v>
                </c:pt>
                <c:pt idx="4">
                  <c:v>0.62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2A-9B46-B2E0-EC65FB4770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26548288"/>
        <c:axId val="191491072"/>
      </c:barChart>
      <c:catAx>
        <c:axId val="226548288"/>
        <c:scaling>
          <c:orientation val="minMax"/>
        </c:scaling>
        <c:delete val="0"/>
        <c:axPos val="l"/>
        <c:minorGridlines>
          <c:spPr>
            <a:ln w="2540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1491072"/>
        <c:crosses val="autoZero"/>
        <c:auto val="1"/>
        <c:lblAlgn val="ctr"/>
        <c:lblOffset val="100"/>
        <c:noMultiLvlLbl val="0"/>
      </c:catAx>
      <c:valAx>
        <c:axId val="191491072"/>
        <c:scaling>
          <c:orientation val="minMax"/>
          <c:max val="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101600"/>
            </a:effectLst>
          </c:spPr>
        </c:majorGridlines>
        <c:numFmt formatCode="0%" sourceLinked="1"/>
        <c:majorTickMark val="none"/>
        <c:minorTickMark val="none"/>
        <c:tickLblPos val="nextTo"/>
        <c:crossAx val="2265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1423050435022154"/>
          <c:y val="0.9334952869084383"/>
          <c:w val="0.8765536833406028"/>
          <c:h val="5.4385470971334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/>
      </a:pPr>
      <a:endParaRPr lang="en-B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Results!$I$21</c:f>
              <c:strCache>
                <c:ptCount val="1"/>
                <c:pt idx="0">
                  <c:v>Avg=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Results!$H$22:$H$27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Results!$I$22:$I$27</c:f>
              <c:numCache>
                <c:formatCode>0.00</c:formatCode>
                <c:ptCount val="6"/>
                <c:pt idx="0">
                  <c:v>4.72</c:v>
                </c:pt>
                <c:pt idx="1">
                  <c:v>4.24</c:v>
                </c:pt>
                <c:pt idx="2">
                  <c:v>4.28</c:v>
                </c:pt>
                <c:pt idx="3">
                  <c:v>3.64</c:v>
                </c:pt>
                <c:pt idx="4">
                  <c:v>2.64</c:v>
                </c:pt>
                <c:pt idx="5">
                  <c:v>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6-234D-BF2B-6D778A371CEB}"/>
            </c:ext>
          </c:extLst>
        </c:ser>
        <c:ser>
          <c:idx val="1"/>
          <c:order val="1"/>
          <c:tx>
            <c:strRef>
              <c:f>Results!$M$21</c:f>
              <c:strCache>
                <c:ptCount val="1"/>
                <c:pt idx="0">
                  <c:v>M=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Results!$H$22:$H$27</c:f>
              <c:strCache>
                <c:ptCount val="6"/>
                <c:pt idx="0">
                  <c:v>Alone</c:v>
                </c:pt>
                <c:pt idx="1">
                  <c:v>Partner</c:v>
                </c:pt>
                <c:pt idx="2">
                  <c:v>Friends</c:v>
                </c:pt>
                <c:pt idx="3">
                  <c:v>Colleagues</c:v>
                </c:pt>
                <c:pt idx="4">
                  <c:v>Strangers</c:v>
                </c:pt>
                <c:pt idx="5">
                  <c:v>Family</c:v>
                </c:pt>
              </c:strCache>
            </c:strRef>
          </c:cat>
          <c:val>
            <c:numRef>
              <c:f>Results!$M$22:$M$27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6-234D-BF2B-6D778A37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axId val="657249504"/>
        <c:axId val="657207776"/>
      </c:barChart>
      <c:catAx>
        <c:axId val="65724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7207776"/>
        <c:crosses val="autoZero"/>
        <c:auto val="1"/>
        <c:lblAlgn val="ctr"/>
        <c:lblOffset val="100"/>
        <c:noMultiLvlLbl val="0"/>
      </c:catAx>
      <c:valAx>
        <c:axId val="657207776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65724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6448738197621"/>
          <c:y val="1.7155633323612328E-2"/>
          <c:w val="0.84020774489572403"/>
          <c:h val="0.877723972901744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Results!$I$66</c:f>
              <c:strCache>
                <c:ptCount val="1"/>
                <c:pt idx="0">
                  <c:v>Left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Results!$H$67:$H$72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Results!$I$67:$I$72</c:f>
              <c:numCache>
                <c:formatCode>0%</c:formatCode>
                <c:ptCount val="6"/>
                <c:pt idx="0">
                  <c:v>0.98</c:v>
                </c:pt>
                <c:pt idx="1">
                  <c:v>0.18</c:v>
                </c:pt>
                <c:pt idx="2">
                  <c:v>0.52</c:v>
                </c:pt>
                <c:pt idx="3">
                  <c:v>0.52</c:v>
                </c:pt>
                <c:pt idx="4">
                  <c:v>0.44</c:v>
                </c:pt>
                <c:pt idx="5">
                  <c:v>0.72000000000000008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4-8D4C-B150-D718D126B8BE}"/>
            </c:ext>
          </c:extLst>
        </c:ser>
        <c:ser>
          <c:idx val="1"/>
          <c:order val="1"/>
          <c:tx>
            <c:strRef>
              <c:f>Results!$J$66</c:f>
              <c:strCache>
                <c:ptCount val="1"/>
                <c:pt idx="0">
                  <c:v>Very uncomfortable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B4-8D4C-B150-D718D126B8BE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B4-8D4C-B150-D718D126B8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Results!$H$67:$H$72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Results!$J$67:$J$72</c:f>
              <c:numCache>
                <c:formatCode>0%</c:formatCode>
                <c:ptCount val="6"/>
                <c:pt idx="0">
                  <c:v>0</c:v>
                </c:pt>
                <c:pt idx="1">
                  <c:v>0.4</c:v>
                </c:pt>
                <c:pt idx="2">
                  <c:v>0.2</c:v>
                </c:pt>
                <c:pt idx="3">
                  <c:v>0.2</c:v>
                </c:pt>
                <c:pt idx="4">
                  <c:v>0.12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B4-8D4C-B150-D718D126B8BE}"/>
            </c:ext>
          </c:extLst>
        </c:ser>
        <c:ser>
          <c:idx val="2"/>
          <c:order val="2"/>
          <c:tx>
            <c:strRef>
              <c:f>Results!$K$66</c:f>
              <c:strCache>
                <c:ptCount val="1"/>
                <c:pt idx="0">
                  <c:v>Uncomfortable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B4-8D4C-B150-D718D126B8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Results!$H$67:$H$72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Results!$K$67:$K$72</c:f>
              <c:numCache>
                <c:formatCode>0%</c:formatCode>
                <c:ptCount val="6"/>
                <c:pt idx="0">
                  <c:v>0</c:v>
                </c:pt>
                <c:pt idx="1">
                  <c:v>0.36</c:v>
                </c:pt>
                <c:pt idx="2">
                  <c:v>0.16</c:v>
                </c:pt>
                <c:pt idx="3">
                  <c:v>0.16</c:v>
                </c:pt>
                <c:pt idx="4">
                  <c:v>0.24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B4-8D4C-B150-D718D126B8BE}"/>
            </c:ext>
          </c:extLst>
        </c:ser>
        <c:ser>
          <c:idx val="3"/>
          <c:order val="3"/>
          <c:tx>
            <c:strRef>
              <c:f>Results!$L$66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4043401593285578E-3"/>
                  <c:y val="-1.086006625045948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989-E246-BAD9-01EC01969F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Results!$H$67:$H$72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Results!$L$67:$L$72</c:f>
              <c:numCache>
                <c:formatCode>0%</c:formatCode>
                <c:ptCount val="6"/>
                <c:pt idx="0">
                  <c:v>0.04</c:v>
                </c:pt>
                <c:pt idx="1">
                  <c:v>0.12</c:v>
                </c:pt>
                <c:pt idx="2">
                  <c:v>0.24</c:v>
                </c:pt>
                <c:pt idx="3">
                  <c:v>0.24</c:v>
                </c:pt>
                <c:pt idx="4">
                  <c:v>0.4</c:v>
                </c:pt>
                <c:pt idx="5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B4-8D4C-B150-D718D126B8BE}"/>
            </c:ext>
          </c:extLst>
        </c:ser>
        <c:ser>
          <c:idx val="4"/>
          <c:order val="4"/>
          <c:tx>
            <c:strRef>
              <c:f>Results!$M$66</c:f>
              <c:strCache>
                <c:ptCount val="1"/>
                <c:pt idx="0">
                  <c:v>Comfortable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989-E246-BAD9-01EC01969F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Results!$H$67:$H$72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Results!$M$67:$M$72</c:f>
              <c:numCache>
                <c:formatCode>0%</c:formatCode>
                <c:ptCount val="6"/>
                <c:pt idx="0">
                  <c:v>0.08</c:v>
                </c:pt>
                <c:pt idx="1">
                  <c:v>0.04</c:v>
                </c:pt>
                <c:pt idx="2">
                  <c:v>0.16</c:v>
                </c:pt>
                <c:pt idx="3">
                  <c:v>0.16</c:v>
                </c:pt>
                <c:pt idx="4">
                  <c:v>0.12</c:v>
                </c:pt>
                <c:pt idx="5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B4-8D4C-B150-D718D126B8BE}"/>
            </c:ext>
          </c:extLst>
        </c:ser>
        <c:ser>
          <c:idx val="5"/>
          <c:order val="5"/>
          <c:tx>
            <c:strRef>
              <c:f>Results!$N$66</c:f>
              <c:strCache>
                <c:ptCount val="1"/>
                <c:pt idx="0">
                  <c:v>Very comfortable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7.3405669322140835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989-E246-BAD9-01EC01969F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Results!$H$67:$H$72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Results!$N$67:$N$72</c:f>
              <c:numCache>
                <c:formatCode>0%</c:formatCode>
                <c:ptCount val="6"/>
                <c:pt idx="0">
                  <c:v>0.88</c:v>
                </c:pt>
                <c:pt idx="1">
                  <c:v>0.08</c:v>
                </c:pt>
                <c:pt idx="2">
                  <c:v>0.24</c:v>
                </c:pt>
                <c:pt idx="3">
                  <c:v>0.24</c:v>
                </c:pt>
                <c:pt idx="4">
                  <c:v>0.12</c:v>
                </c:pt>
                <c:pt idx="5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B4-8D4C-B150-D718D126B8BE}"/>
            </c:ext>
          </c:extLst>
        </c:ser>
        <c:ser>
          <c:idx val="6"/>
          <c:order val="6"/>
          <c:tx>
            <c:strRef>
              <c:f>Results!$O$66</c:f>
              <c:strCache>
                <c:ptCount val="1"/>
                <c:pt idx="0">
                  <c:v>Right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5B4-8D4C-B150-D718D126B8BE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5B4-8D4C-B150-D718D126B8BE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5B4-8D4C-B150-D718D126B8BE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5B4-8D4C-B150-D718D126B8BE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5B4-8D4C-B150-D718D126B8BE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5B4-8D4C-B150-D718D126B8BE}"/>
              </c:ext>
            </c:extLst>
          </c:dPt>
          <c:dLbls>
            <c:delete val="1"/>
          </c:dLbls>
          <c:cat>
            <c:strRef>
              <c:f>Results!$H$67:$H$72</c:f>
              <c:strCache>
                <c:ptCount val="6"/>
                <c:pt idx="0">
                  <c:v>Home</c:v>
                </c:pt>
                <c:pt idx="1">
                  <c:v>Sidewalk</c:v>
                </c:pt>
                <c:pt idx="2">
                  <c:v>Driving</c:v>
                </c:pt>
                <c:pt idx="3">
                  <c:v>Passenger on bus/train</c:v>
                </c:pt>
                <c:pt idx="4">
                  <c:v>Restaurant</c:v>
                </c:pt>
                <c:pt idx="5">
                  <c:v>Workplace</c:v>
                </c:pt>
              </c:strCache>
            </c:strRef>
          </c:cat>
          <c:val>
            <c:numRef>
              <c:f>Results!$O$67:$O$72</c:f>
              <c:numCache>
                <c:formatCode>0%</c:formatCode>
                <c:ptCount val="6"/>
                <c:pt idx="0">
                  <c:v>0.02</c:v>
                </c:pt>
                <c:pt idx="1">
                  <c:v>0.82000000000000006</c:v>
                </c:pt>
                <c:pt idx="2">
                  <c:v>0.48</c:v>
                </c:pt>
                <c:pt idx="3">
                  <c:v>0.48</c:v>
                </c:pt>
                <c:pt idx="4">
                  <c:v>0.56000000000000005</c:v>
                </c:pt>
                <c:pt idx="5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B4-8D4C-B150-D718D126B8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226548288"/>
        <c:axId val="191491072"/>
      </c:barChart>
      <c:catAx>
        <c:axId val="226548288"/>
        <c:scaling>
          <c:orientation val="minMax"/>
        </c:scaling>
        <c:delete val="0"/>
        <c:axPos val="l"/>
        <c:minorGridlines>
          <c:spPr>
            <a:ln w="25400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1491072"/>
        <c:crosses val="autoZero"/>
        <c:auto val="1"/>
        <c:lblAlgn val="ctr"/>
        <c:lblOffset val="100"/>
        <c:noMultiLvlLbl val="0"/>
      </c:catAx>
      <c:valAx>
        <c:axId val="191491072"/>
        <c:scaling>
          <c:orientation val="minMax"/>
          <c:max val="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101600"/>
            </a:effectLst>
          </c:spPr>
        </c:majorGridlines>
        <c:numFmt formatCode="0%" sourceLinked="1"/>
        <c:majorTickMark val="none"/>
        <c:minorTickMark val="none"/>
        <c:tickLblPos val="nextTo"/>
        <c:crossAx val="2265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1423050435022154"/>
          <c:y val="0.9334952869084383"/>
          <c:w val="0.8765536833406028"/>
          <c:h val="5.4385470971334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/>
      </a:pPr>
      <a:endParaRPr lang="en-B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508000</xdr:colOff>
      <xdr:row>19</xdr:row>
      <xdr:rowOff>144462</xdr:rowOff>
    </xdr:from>
    <xdr:to>
      <xdr:col>33</xdr:col>
      <xdr:colOff>177800</xdr:colOff>
      <xdr:row>40</xdr:row>
      <xdr:rowOff>139700</xdr:rowOff>
    </xdr:to>
    <xdr:graphicFrame macro="">
      <xdr:nvGraphicFramePr>
        <xdr:cNvPr id="10" name="Graphique 2">
          <a:extLst>
            <a:ext uri="{FF2B5EF4-FFF2-40B4-BE49-F238E27FC236}">
              <a16:creationId xmlns:a16="http://schemas.microsoft.com/office/drawing/2014/main" id="{FFCC7671-2073-0C10-28C2-38B40511E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38100</xdr:colOff>
      <xdr:row>41</xdr:row>
      <xdr:rowOff>120650</xdr:rowOff>
    </xdr:from>
    <xdr:to>
      <xdr:col>45</xdr:col>
      <xdr:colOff>266700</xdr:colOff>
      <xdr:row>68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8024E-03E3-FA6E-97A0-8B2365803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622300</xdr:colOff>
      <xdr:row>77</xdr:row>
      <xdr:rowOff>95250</xdr:rowOff>
    </xdr:from>
    <xdr:to>
      <xdr:col>45</xdr:col>
      <xdr:colOff>139700</xdr:colOff>
      <xdr:row>106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DA48D-843C-AEE6-0984-BD05756BA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10079</xdr:colOff>
      <xdr:row>42</xdr:row>
      <xdr:rowOff>120954</xdr:rowOff>
    </xdr:from>
    <xdr:to>
      <xdr:col>29</xdr:col>
      <xdr:colOff>606979</xdr:colOff>
      <xdr:row>65</xdr:row>
      <xdr:rowOff>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A846B411-64FC-19D3-B249-AAF512078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107950</xdr:colOff>
      <xdr:row>20</xdr:row>
      <xdr:rowOff>69850</xdr:rowOff>
    </xdr:from>
    <xdr:to>
      <xdr:col>25</xdr:col>
      <xdr:colOff>76200</xdr:colOff>
      <xdr:row>41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79B8DF-2910-653E-5941-956823618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10079</xdr:colOff>
      <xdr:row>66</xdr:row>
      <xdr:rowOff>15320</xdr:rowOff>
    </xdr:from>
    <xdr:to>
      <xdr:col>29</xdr:col>
      <xdr:colOff>606979</xdr:colOff>
      <xdr:row>88</xdr:row>
      <xdr:rowOff>100793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26098D2A-8205-5046-A162-00D120ED8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0.54665</cdr:x>
      <cdr:y>0.90965</cdr:y>
    </cdr:from>
    <cdr:to>
      <cdr:x>0.9898</cdr:x>
      <cdr:y>0.90965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B1F9923C-C3A8-5373-28D1-B2BE5293BCFE}"/>
            </a:ext>
          </a:extLst>
        </cdr:cNvPr>
        <cdr:cNvCxnSpPr/>
      </cdr:nvCxnSpPr>
      <cdr:spPr>
        <a:xfrm xmlns:a="http://schemas.openxmlformats.org/drawingml/2006/main">
          <a:off x="4762500" y="5626100"/>
          <a:ext cx="3860800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00B050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0.11953</cdr:x>
      <cdr:y>0.9097</cdr:y>
    </cdr:from>
    <cdr:to>
      <cdr:x>0.53936</cdr:x>
      <cdr:y>0.9117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B02544DB-1B8B-3B2E-2DFF-8F37A0C4F70D}"/>
            </a:ext>
          </a:extLst>
        </cdr:cNvPr>
        <cdr:cNvCxnSpPr/>
      </cdr:nvCxnSpPr>
      <cdr:spPr>
        <a:xfrm xmlns:a="http://schemas.openxmlformats.org/drawingml/2006/main" flipH="1">
          <a:off x="1041400" y="5626401"/>
          <a:ext cx="3657600" cy="12399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FF0000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0.10696</cdr:x>
      <cdr:y>0.04485</cdr:y>
    </cdr:from>
    <cdr:to>
      <cdr:x>0.24395</cdr:x>
      <cdr:y>0.1352</cdr:y>
    </cdr:to>
    <cdr:sp macro="" textlink="Results!$N$27">
      <cdr:nvSpPr>
        <cdr:cNvPr id="18" name="Right Arrow 17">
          <a:extLst xmlns:a="http://schemas.openxmlformats.org/drawingml/2006/main">
            <a:ext uri="{FF2B5EF4-FFF2-40B4-BE49-F238E27FC236}">
              <a16:creationId xmlns:a16="http://schemas.microsoft.com/office/drawing/2014/main" id="{0892482B-A075-EB02-7430-14552C44AC36}"/>
            </a:ext>
          </a:extLst>
        </cdr:cNvPr>
        <cdr:cNvSpPr/>
      </cdr:nvSpPr>
      <cdr:spPr>
        <a:xfrm xmlns:a="http://schemas.openxmlformats.org/drawingml/2006/main">
          <a:off x="925225" y="191623"/>
          <a:ext cx="1185040" cy="386013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pPr marL="0" indent="0"/>
          <a:fld id="{38302669-C10B-3448-83F7-829802C3B9F2}" type="TxLink">
            <a:rPr lang="en-US" sz="1200" b="1" i="1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M=5, Avg=4.3</a:t>
          </a:fld>
          <a:endParaRPr lang="en-BE" sz="1200" b="1" i="1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cdr:txBody>
    </cdr:sp>
  </cdr:relSizeAnchor>
  <cdr:relSizeAnchor xmlns:cdr="http://schemas.openxmlformats.org/drawingml/2006/chartDrawing">
    <cdr:from>
      <cdr:x>0.10639</cdr:x>
      <cdr:y>0.19279</cdr:y>
    </cdr:from>
    <cdr:to>
      <cdr:x>0.24286</cdr:x>
      <cdr:y>0.28314</cdr:y>
    </cdr:to>
    <cdr:sp macro="" textlink="Results!$N$26">
      <cdr:nvSpPr>
        <cdr:cNvPr id="19" name="Right Arrow 18">
          <a:extLst xmlns:a="http://schemas.openxmlformats.org/drawingml/2006/main">
            <a:ext uri="{FF2B5EF4-FFF2-40B4-BE49-F238E27FC236}">
              <a16:creationId xmlns:a16="http://schemas.microsoft.com/office/drawing/2014/main" id="{01F8CDFC-DF59-A3FD-3C05-41BA3A1D4183}"/>
            </a:ext>
          </a:extLst>
        </cdr:cNvPr>
        <cdr:cNvSpPr/>
      </cdr:nvSpPr>
      <cdr:spPr>
        <a:xfrm xmlns:a="http://schemas.openxmlformats.org/drawingml/2006/main">
          <a:off x="920307" y="823673"/>
          <a:ext cx="1180542" cy="386013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8DB9388-6FD4-224D-B353-41D725219C63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M=3, Avg=2.6</a:t>
          </a:fld>
          <a:endParaRPr lang="en-BE" sz="1200" b="1" i="1"/>
        </a:p>
      </cdr:txBody>
    </cdr:sp>
  </cdr:relSizeAnchor>
  <cdr:relSizeAnchor xmlns:cdr="http://schemas.openxmlformats.org/drawingml/2006/chartDrawing">
    <cdr:from>
      <cdr:x>0.10664</cdr:x>
      <cdr:y>0.33607</cdr:y>
    </cdr:from>
    <cdr:to>
      <cdr:x>0.24286</cdr:x>
      <cdr:y>0.42642</cdr:y>
    </cdr:to>
    <cdr:sp macro="" textlink="Results!$N$25">
      <cdr:nvSpPr>
        <cdr:cNvPr id="2" name="Right Arrow 1">
          <a:extLst xmlns:a="http://schemas.openxmlformats.org/drawingml/2006/main">
            <a:ext uri="{FF2B5EF4-FFF2-40B4-BE49-F238E27FC236}">
              <a16:creationId xmlns:a16="http://schemas.microsoft.com/office/drawing/2014/main" id="{744B1D40-571A-26FB-88FE-9C95CA1A0F82}"/>
            </a:ext>
          </a:extLst>
        </cdr:cNvPr>
        <cdr:cNvSpPr/>
      </cdr:nvSpPr>
      <cdr:spPr>
        <a:xfrm xmlns:a="http://schemas.openxmlformats.org/drawingml/2006/main">
          <a:off x="922468" y="1435846"/>
          <a:ext cx="1178380" cy="386014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11719883-289E-FD4E-8315-8EA7E03E6E04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M=4, Avg=3.6</a:t>
          </a:fld>
          <a:endParaRPr lang="en-BE" sz="1200" b="1" i="1"/>
        </a:p>
      </cdr:txBody>
    </cdr:sp>
  </cdr:relSizeAnchor>
  <cdr:relSizeAnchor xmlns:cdr="http://schemas.openxmlformats.org/drawingml/2006/chartDrawing">
    <cdr:from>
      <cdr:x>0.10636</cdr:x>
      <cdr:y>0.48272</cdr:y>
    </cdr:from>
    <cdr:to>
      <cdr:x>0.24345</cdr:x>
      <cdr:y>0.57307</cdr:y>
    </cdr:to>
    <cdr:sp macro="" textlink="Results!$N$24">
      <cdr:nvSpPr>
        <cdr:cNvPr id="3" name="Right Arrow 2">
          <a:extLst xmlns:a="http://schemas.openxmlformats.org/drawingml/2006/main">
            <a:ext uri="{FF2B5EF4-FFF2-40B4-BE49-F238E27FC236}">
              <a16:creationId xmlns:a16="http://schemas.microsoft.com/office/drawing/2014/main" id="{FC59893B-9B84-0255-F965-E3208757A3FB}"/>
            </a:ext>
          </a:extLst>
        </cdr:cNvPr>
        <cdr:cNvSpPr/>
      </cdr:nvSpPr>
      <cdr:spPr>
        <a:xfrm xmlns:a="http://schemas.openxmlformats.org/drawingml/2006/main">
          <a:off x="920106" y="2062383"/>
          <a:ext cx="1185905" cy="386013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0085494-8118-7843-9E06-A6414F67A25B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M=5, Avg=4.3</a:t>
          </a:fld>
          <a:endParaRPr lang="en-BE" sz="1200" b="1" i="1"/>
        </a:p>
      </cdr:txBody>
    </cdr:sp>
  </cdr:relSizeAnchor>
  <cdr:relSizeAnchor xmlns:cdr="http://schemas.openxmlformats.org/drawingml/2006/chartDrawing">
    <cdr:from>
      <cdr:x>0.10664</cdr:x>
      <cdr:y>0.63128</cdr:y>
    </cdr:from>
    <cdr:to>
      <cdr:x>0.24286</cdr:x>
      <cdr:y>0.72163</cdr:y>
    </cdr:to>
    <cdr:sp macro="" textlink="Results!$N$23">
      <cdr:nvSpPr>
        <cdr:cNvPr id="4" name="Right Arrow 3">
          <a:extLst xmlns:a="http://schemas.openxmlformats.org/drawingml/2006/main">
            <a:ext uri="{FF2B5EF4-FFF2-40B4-BE49-F238E27FC236}">
              <a16:creationId xmlns:a16="http://schemas.microsoft.com/office/drawing/2014/main" id="{FC59893B-9B84-0255-F965-E3208757A3FB}"/>
            </a:ext>
          </a:extLst>
        </cdr:cNvPr>
        <cdr:cNvSpPr/>
      </cdr:nvSpPr>
      <cdr:spPr>
        <a:xfrm xmlns:a="http://schemas.openxmlformats.org/drawingml/2006/main">
          <a:off x="922468" y="2697093"/>
          <a:ext cx="1178380" cy="386013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63D0AEE-66C2-C94F-AA7B-CF7FBA0E2011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M=4, Avg=4.2</a:t>
          </a:fld>
          <a:endParaRPr lang="en-BE" sz="1200" b="1" i="1"/>
        </a:p>
      </cdr:txBody>
    </cdr:sp>
  </cdr:relSizeAnchor>
  <cdr:relSizeAnchor xmlns:cdr="http://schemas.openxmlformats.org/drawingml/2006/chartDrawing">
    <cdr:from>
      <cdr:x>0.10723</cdr:x>
      <cdr:y>0.77552</cdr:y>
    </cdr:from>
    <cdr:to>
      <cdr:x>0.24345</cdr:x>
      <cdr:y>0.86586</cdr:y>
    </cdr:to>
    <cdr:sp macro="" textlink="Results!$N$22">
      <cdr:nvSpPr>
        <cdr:cNvPr id="5" name="Right Arrow 4">
          <a:extLst xmlns:a="http://schemas.openxmlformats.org/drawingml/2006/main">
            <a:ext uri="{FF2B5EF4-FFF2-40B4-BE49-F238E27FC236}">
              <a16:creationId xmlns:a16="http://schemas.microsoft.com/office/drawing/2014/main" id="{513A9BC0-EE62-98F8-B2BE-40D100F7A9F6}"/>
            </a:ext>
          </a:extLst>
        </cdr:cNvPr>
        <cdr:cNvSpPr/>
      </cdr:nvSpPr>
      <cdr:spPr>
        <a:xfrm xmlns:a="http://schemas.openxmlformats.org/drawingml/2006/main">
          <a:off x="927632" y="3313347"/>
          <a:ext cx="1178380" cy="385971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B9A4B138-4B6F-B745-B729-2DAC386C9E45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M=5, Avg=4.7</a:t>
          </a:fld>
          <a:endParaRPr lang="en-BE" sz="1200" b="1" i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0.56662</cdr:x>
      <cdr:y>0.91109</cdr:y>
    </cdr:from>
    <cdr:to>
      <cdr:x>0.9898</cdr:x>
      <cdr:y>0.91109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B1F9923C-C3A8-5373-28D1-B2BE5293BCFE}"/>
            </a:ext>
          </a:extLst>
        </cdr:cNvPr>
        <cdr:cNvCxnSpPr/>
      </cdr:nvCxnSpPr>
      <cdr:spPr>
        <a:xfrm xmlns:a="http://schemas.openxmlformats.org/drawingml/2006/main">
          <a:off x="4940256" y="4804129"/>
          <a:ext cx="3689628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00B050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0.14788</cdr:x>
      <cdr:y>0.91106</cdr:y>
    </cdr:from>
    <cdr:to>
      <cdr:x>0.5652</cdr:x>
      <cdr:y>0.91106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B02544DB-1B8B-3B2E-2DFF-8F37A0C4F70D}"/>
            </a:ext>
          </a:extLst>
        </cdr:cNvPr>
        <cdr:cNvCxnSpPr/>
      </cdr:nvCxnSpPr>
      <cdr:spPr>
        <a:xfrm xmlns:a="http://schemas.openxmlformats.org/drawingml/2006/main" flipH="1">
          <a:off x="1289339" y="4803958"/>
          <a:ext cx="3638565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FF0000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0.13859</cdr:x>
      <cdr:y>0.04372</cdr:y>
    </cdr:from>
    <cdr:to>
      <cdr:x>0.27217</cdr:x>
      <cdr:y>0.13407</cdr:y>
    </cdr:to>
    <cdr:sp macro="" textlink="Results!$N$36">
      <cdr:nvSpPr>
        <cdr:cNvPr id="18" name="Right Arrow 17">
          <a:extLst xmlns:a="http://schemas.openxmlformats.org/drawingml/2006/main">
            <a:ext uri="{FF2B5EF4-FFF2-40B4-BE49-F238E27FC236}">
              <a16:creationId xmlns:a16="http://schemas.microsoft.com/office/drawing/2014/main" id="{0892482B-A075-EB02-7430-14552C44AC36}"/>
            </a:ext>
          </a:extLst>
        </cdr:cNvPr>
        <cdr:cNvSpPr/>
      </cdr:nvSpPr>
      <cdr:spPr>
        <a:xfrm xmlns:a="http://schemas.openxmlformats.org/drawingml/2006/main">
          <a:off x="1198913" y="187473"/>
          <a:ext cx="1155479" cy="387405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pPr marL="0" indent="0"/>
          <a:fld id="{C26A1B9B-13F5-F749-9592-F8BE5235EACA}" type="TxLink">
            <a:rPr lang="en-US" sz="1200" b="1" i="1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M=4, Avg=3.7</a:t>
          </a:fld>
          <a:endParaRPr lang="en-BE" sz="1200" b="1" i="1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cdr:txBody>
    </cdr:sp>
  </cdr:relSizeAnchor>
  <cdr:relSizeAnchor xmlns:cdr="http://schemas.openxmlformats.org/drawingml/2006/chartDrawing">
    <cdr:from>
      <cdr:x>0.13891</cdr:x>
      <cdr:y>0.19085</cdr:y>
    </cdr:from>
    <cdr:to>
      <cdr:x>0.27315</cdr:x>
      <cdr:y>0.2812</cdr:y>
    </cdr:to>
    <cdr:sp macro="" textlink="Results!$N$35">
      <cdr:nvSpPr>
        <cdr:cNvPr id="19" name="Right Arrow 18">
          <a:extLst xmlns:a="http://schemas.openxmlformats.org/drawingml/2006/main">
            <a:ext uri="{FF2B5EF4-FFF2-40B4-BE49-F238E27FC236}">
              <a16:creationId xmlns:a16="http://schemas.microsoft.com/office/drawing/2014/main" id="{01F8CDFC-DF59-A3FD-3C05-41BA3A1D4183}"/>
            </a:ext>
          </a:extLst>
        </cdr:cNvPr>
        <cdr:cNvSpPr/>
      </cdr:nvSpPr>
      <cdr:spPr>
        <a:xfrm xmlns:a="http://schemas.openxmlformats.org/drawingml/2006/main">
          <a:off x="1201654" y="818349"/>
          <a:ext cx="1161288" cy="387406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C9AEFE1-7FD6-024C-8025-64EFB69876FC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M=3, Avg=2.9</a:t>
          </a:fld>
          <a:endParaRPr lang="en-BE" sz="1200" b="1" i="1"/>
        </a:p>
      </cdr:txBody>
    </cdr:sp>
  </cdr:relSizeAnchor>
  <cdr:relSizeAnchor xmlns:cdr="http://schemas.openxmlformats.org/drawingml/2006/chartDrawing">
    <cdr:from>
      <cdr:x>0.13863</cdr:x>
      <cdr:y>0.33726</cdr:y>
    </cdr:from>
    <cdr:to>
      <cdr:x>0.27588</cdr:x>
      <cdr:y>0.42761</cdr:y>
    </cdr:to>
    <cdr:sp macro="" textlink="Results!$N$34">
      <cdr:nvSpPr>
        <cdr:cNvPr id="2" name="Right Arrow 1">
          <a:extLst xmlns:a="http://schemas.openxmlformats.org/drawingml/2006/main">
            <a:ext uri="{FF2B5EF4-FFF2-40B4-BE49-F238E27FC236}">
              <a16:creationId xmlns:a16="http://schemas.microsoft.com/office/drawing/2014/main" id="{C9CBDAF5-15B6-3524-7002-85040913F349}"/>
            </a:ext>
          </a:extLst>
        </cdr:cNvPr>
        <cdr:cNvSpPr/>
      </cdr:nvSpPr>
      <cdr:spPr>
        <a:xfrm xmlns:a="http://schemas.openxmlformats.org/drawingml/2006/main">
          <a:off x="1199260" y="1446097"/>
          <a:ext cx="1187289" cy="387406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10AFBA2E-1F90-B246-900C-A30221C549FF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M=4, Avg=3.6</a:t>
          </a:fld>
          <a:endParaRPr lang="en-BE" sz="1200" b="1" i="1"/>
        </a:p>
      </cdr:txBody>
    </cdr:sp>
  </cdr:relSizeAnchor>
  <cdr:relSizeAnchor xmlns:cdr="http://schemas.openxmlformats.org/drawingml/2006/chartDrawing">
    <cdr:from>
      <cdr:x>0.13863</cdr:x>
      <cdr:y>0.4851</cdr:y>
    </cdr:from>
    <cdr:to>
      <cdr:x>0.28515</cdr:x>
      <cdr:y>0.57545</cdr:y>
    </cdr:to>
    <cdr:sp macro="" textlink="Results!$N$33">
      <cdr:nvSpPr>
        <cdr:cNvPr id="3" name="Right Arrow 2">
          <a:extLst xmlns:a="http://schemas.openxmlformats.org/drawingml/2006/main">
            <a:ext uri="{FF2B5EF4-FFF2-40B4-BE49-F238E27FC236}">
              <a16:creationId xmlns:a16="http://schemas.microsoft.com/office/drawing/2014/main" id="{C9CBDAF5-15B6-3524-7002-85040913F349}"/>
            </a:ext>
          </a:extLst>
        </cdr:cNvPr>
        <cdr:cNvSpPr/>
      </cdr:nvSpPr>
      <cdr:spPr>
        <a:xfrm xmlns:a="http://schemas.openxmlformats.org/drawingml/2006/main">
          <a:off x="1199259" y="2080018"/>
          <a:ext cx="1267480" cy="387406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61FFB4AA-4AAC-8C4A-899C-4CDB288017A8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M=3, Avg=3.1</a:t>
          </a:fld>
          <a:endParaRPr lang="en-BE" sz="1200" b="1" i="1"/>
        </a:p>
      </cdr:txBody>
    </cdr:sp>
  </cdr:relSizeAnchor>
  <cdr:relSizeAnchor xmlns:cdr="http://schemas.openxmlformats.org/drawingml/2006/chartDrawing">
    <cdr:from>
      <cdr:x>0.13896</cdr:x>
      <cdr:y>0.77449</cdr:y>
    </cdr:from>
    <cdr:to>
      <cdr:x>0.2794</cdr:x>
      <cdr:y>0.86484</cdr:y>
    </cdr:to>
    <cdr:sp macro="" textlink="Results!$N$31">
      <cdr:nvSpPr>
        <cdr:cNvPr id="4" name="Right Arrow 3">
          <a:extLst xmlns:a="http://schemas.openxmlformats.org/drawingml/2006/main">
            <a:ext uri="{FF2B5EF4-FFF2-40B4-BE49-F238E27FC236}">
              <a16:creationId xmlns:a16="http://schemas.microsoft.com/office/drawing/2014/main" id="{C9CBDAF5-15B6-3524-7002-85040913F349}"/>
            </a:ext>
          </a:extLst>
        </cdr:cNvPr>
        <cdr:cNvSpPr/>
      </cdr:nvSpPr>
      <cdr:spPr>
        <a:xfrm xmlns:a="http://schemas.openxmlformats.org/drawingml/2006/main">
          <a:off x="1202058" y="3320890"/>
          <a:ext cx="1214884" cy="387405"/>
        </a:xfrm>
        <a:prstGeom xmlns:a="http://schemas.openxmlformats.org/drawingml/2006/main" prst="rightArrow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B11A529-EDFB-CC49-AACE-012DC2AA81E8}" type="TxLink">
            <a:rPr lang="en-US" sz="12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M=5, Avg=4.8</a:t>
          </a:fld>
          <a:endParaRPr lang="en-BE" sz="1200" b="1" i="1"/>
        </a:p>
      </cdr:txBody>
    </cdr:sp>
  </cdr:relSizeAnchor>
  <cdr:relSizeAnchor xmlns:cdr="http://schemas.openxmlformats.org/drawingml/2006/chartDrawing">
    <cdr:from>
      <cdr:x>0.13823</cdr:x>
      <cdr:y>0.62853</cdr:y>
    </cdr:from>
    <cdr:to>
      <cdr:x>0.25963</cdr:x>
      <cdr:y>0.71888</cdr:y>
    </cdr:to>
    <cdr:sp macro="" textlink="Results!$N$32">
      <cdr:nvSpPr>
        <cdr:cNvPr id="5" name="Right Arrow 4">
          <a:extLst xmlns:a="http://schemas.openxmlformats.org/drawingml/2006/main">
            <a:ext uri="{FF2B5EF4-FFF2-40B4-BE49-F238E27FC236}">
              <a16:creationId xmlns:a16="http://schemas.microsoft.com/office/drawing/2014/main" id="{C9CBDAF5-15B6-3524-7002-85040913F349}"/>
            </a:ext>
          </a:extLst>
        </cdr:cNvPr>
        <cdr:cNvSpPr/>
      </cdr:nvSpPr>
      <cdr:spPr>
        <a:xfrm xmlns:a="http://schemas.openxmlformats.org/drawingml/2006/main">
          <a:off x="1195730" y="2695018"/>
          <a:ext cx="1050248" cy="387406"/>
        </a:xfrm>
        <a:prstGeom xmlns:a="http://schemas.openxmlformats.org/drawingml/2006/main" prst="rightArrow">
          <a:avLst>
            <a:gd name="adj1" fmla="val 47334"/>
            <a:gd name="adj2" fmla="val 34009"/>
          </a:avLst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D775EBFF-ED47-FD4A-B461-0A546686725E}" type="TxLink">
            <a:rPr lang="en-US" sz="1100" b="1" i="1" u="none" strike="noStrike">
              <a:solidFill>
                <a:srgbClr val="000000"/>
              </a:solidFill>
              <a:latin typeface="Calibri"/>
              <a:cs typeface="Calibri"/>
            </a:rPr>
            <a:pPr/>
            <a:t>M=2, Avg=2.0</a:t>
          </a:fld>
          <a:endParaRPr lang="en-BE" sz="1100" b="1" i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2"/>
  <sheetViews>
    <sheetView tabSelected="1" topLeftCell="Q34" zoomScale="246" zoomScaleNormal="246" workbookViewId="0">
      <selection activeCell="R67" sqref="R67"/>
    </sheetView>
  </sheetViews>
  <sheetFormatPr baseColWidth="10" defaultColWidth="8.83203125" defaultRowHeight="15" x14ac:dyDescent="0.2"/>
  <cols>
    <col min="1" max="1" width="24" customWidth="1"/>
    <col min="8" max="8" width="18.33203125" bestFit="1" customWidth="1"/>
    <col min="10" max="10" width="22.33203125" bestFit="1" customWidth="1"/>
    <col min="11" max="11" width="12.5" bestFit="1" customWidth="1"/>
  </cols>
  <sheetData>
    <row r="1" spans="1:31" s="1" customFormat="1" x14ac:dyDescent="0.2">
      <c r="B1" s="1" t="s">
        <v>7</v>
      </c>
      <c r="C1" s="1" t="s">
        <v>8</v>
      </c>
      <c r="D1" s="1" t="s">
        <v>17</v>
      </c>
      <c r="E1" s="1" t="s">
        <v>16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</row>
    <row r="2" spans="1:31" s="2" customFormat="1" x14ac:dyDescent="0.2">
      <c r="A2" s="2" t="s">
        <v>0</v>
      </c>
    </row>
    <row r="3" spans="1:31" x14ac:dyDescent="0.2">
      <c r="A3" t="s">
        <v>1</v>
      </c>
      <c r="B3">
        <v>5</v>
      </c>
      <c r="C3">
        <v>4</v>
      </c>
      <c r="D3">
        <v>4</v>
      </c>
      <c r="E3">
        <v>5</v>
      </c>
      <c r="F3">
        <v>5</v>
      </c>
      <c r="G3">
        <v>3</v>
      </c>
      <c r="H3">
        <v>5</v>
      </c>
      <c r="I3">
        <v>5</v>
      </c>
      <c r="J3">
        <v>5</v>
      </c>
      <c r="K3">
        <v>5</v>
      </c>
      <c r="L3">
        <v>4</v>
      </c>
      <c r="M3">
        <v>5</v>
      </c>
      <c r="N3">
        <v>5</v>
      </c>
      <c r="O3">
        <v>4</v>
      </c>
      <c r="P3">
        <v>4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</row>
    <row r="4" spans="1:31" x14ac:dyDescent="0.2">
      <c r="A4" t="s">
        <v>2</v>
      </c>
      <c r="B4">
        <v>5</v>
      </c>
      <c r="C4">
        <v>1</v>
      </c>
      <c r="D4">
        <v>5</v>
      </c>
      <c r="E4">
        <v>4</v>
      </c>
      <c r="F4">
        <v>4</v>
      </c>
      <c r="G4">
        <v>2</v>
      </c>
      <c r="H4">
        <v>5</v>
      </c>
      <c r="I4">
        <v>4</v>
      </c>
      <c r="J4">
        <v>4</v>
      </c>
      <c r="K4">
        <v>5</v>
      </c>
      <c r="L4">
        <v>4</v>
      </c>
      <c r="M4">
        <v>5</v>
      </c>
      <c r="N4">
        <v>5</v>
      </c>
      <c r="O4">
        <v>4</v>
      </c>
      <c r="P4">
        <v>5</v>
      </c>
      <c r="Q4" s="3">
        <v>4</v>
      </c>
      <c r="R4">
        <v>5</v>
      </c>
      <c r="S4">
        <v>5</v>
      </c>
      <c r="T4">
        <v>4</v>
      </c>
      <c r="U4">
        <v>5</v>
      </c>
      <c r="V4">
        <v>5</v>
      </c>
      <c r="W4">
        <v>4</v>
      </c>
      <c r="X4">
        <v>5</v>
      </c>
      <c r="Y4">
        <v>4</v>
      </c>
      <c r="Z4">
        <v>3</v>
      </c>
    </row>
    <row r="5" spans="1:31" x14ac:dyDescent="0.2">
      <c r="A5" t="s">
        <v>3</v>
      </c>
      <c r="B5">
        <v>5</v>
      </c>
      <c r="C5">
        <v>2</v>
      </c>
      <c r="D5">
        <v>5</v>
      </c>
      <c r="E5">
        <v>4</v>
      </c>
      <c r="F5">
        <v>5</v>
      </c>
      <c r="G5">
        <v>5</v>
      </c>
      <c r="H5">
        <v>5</v>
      </c>
      <c r="I5">
        <v>5</v>
      </c>
      <c r="J5">
        <v>4</v>
      </c>
      <c r="K5">
        <v>4</v>
      </c>
      <c r="L5">
        <v>4</v>
      </c>
      <c r="M5">
        <v>5</v>
      </c>
      <c r="N5">
        <v>5</v>
      </c>
      <c r="O5">
        <v>2</v>
      </c>
      <c r="P5">
        <v>5</v>
      </c>
      <c r="Q5">
        <v>3</v>
      </c>
      <c r="R5">
        <v>5</v>
      </c>
      <c r="S5">
        <v>5</v>
      </c>
      <c r="T5">
        <v>3</v>
      </c>
      <c r="U5">
        <v>4</v>
      </c>
      <c r="V5">
        <v>5</v>
      </c>
      <c r="W5">
        <v>4</v>
      </c>
      <c r="X5">
        <v>5</v>
      </c>
      <c r="Y5">
        <v>3</v>
      </c>
      <c r="Z5">
        <v>5</v>
      </c>
    </row>
    <row r="6" spans="1:31" x14ac:dyDescent="0.2">
      <c r="A6" t="s">
        <v>4</v>
      </c>
      <c r="B6">
        <v>5</v>
      </c>
      <c r="C6">
        <v>1</v>
      </c>
      <c r="D6">
        <v>5</v>
      </c>
      <c r="E6">
        <v>5</v>
      </c>
      <c r="F6">
        <v>4</v>
      </c>
      <c r="G6">
        <v>4</v>
      </c>
      <c r="H6">
        <v>5</v>
      </c>
      <c r="I6">
        <v>3</v>
      </c>
      <c r="J6">
        <v>4</v>
      </c>
      <c r="K6">
        <v>2</v>
      </c>
      <c r="L6">
        <v>4</v>
      </c>
      <c r="M6">
        <v>4</v>
      </c>
      <c r="N6">
        <v>5</v>
      </c>
      <c r="O6">
        <v>2</v>
      </c>
      <c r="P6">
        <v>5</v>
      </c>
      <c r="Q6">
        <v>3</v>
      </c>
      <c r="R6">
        <v>3</v>
      </c>
      <c r="S6">
        <v>4</v>
      </c>
      <c r="T6">
        <v>3</v>
      </c>
      <c r="U6">
        <v>4</v>
      </c>
      <c r="V6">
        <v>3</v>
      </c>
      <c r="W6">
        <v>3</v>
      </c>
      <c r="X6">
        <v>5</v>
      </c>
      <c r="Y6">
        <v>1</v>
      </c>
      <c r="Z6">
        <v>4</v>
      </c>
    </row>
    <row r="7" spans="1:31" x14ac:dyDescent="0.2">
      <c r="A7" t="s">
        <v>5</v>
      </c>
      <c r="B7">
        <v>3</v>
      </c>
      <c r="C7">
        <v>3</v>
      </c>
      <c r="D7">
        <v>2</v>
      </c>
      <c r="E7">
        <v>3</v>
      </c>
      <c r="F7">
        <v>3</v>
      </c>
      <c r="G7">
        <v>4</v>
      </c>
      <c r="H7">
        <v>2</v>
      </c>
      <c r="I7">
        <v>2</v>
      </c>
      <c r="J7">
        <v>1</v>
      </c>
      <c r="K7">
        <v>1</v>
      </c>
      <c r="L7">
        <v>3</v>
      </c>
      <c r="M7">
        <v>3</v>
      </c>
      <c r="N7">
        <v>5</v>
      </c>
      <c r="O7">
        <v>1</v>
      </c>
      <c r="P7">
        <v>3</v>
      </c>
      <c r="Q7">
        <v>2</v>
      </c>
      <c r="R7">
        <v>3</v>
      </c>
      <c r="S7">
        <v>3</v>
      </c>
      <c r="T7">
        <v>4</v>
      </c>
      <c r="U7">
        <v>3</v>
      </c>
      <c r="V7">
        <v>1</v>
      </c>
      <c r="W7">
        <v>3</v>
      </c>
      <c r="X7">
        <v>5</v>
      </c>
      <c r="Y7">
        <v>1</v>
      </c>
      <c r="Z7">
        <v>2</v>
      </c>
    </row>
    <row r="8" spans="1:31" x14ac:dyDescent="0.2">
      <c r="A8" t="s">
        <v>6</v>
      </c>
      <c r="B8">
        <v>5</v>
      </c>
      <c r="C8">
        <v>2</v>
      </c>
      <c r="D8">
        <v>5</v>
      </c>
      <c r="E8">
        <v>4</v>
      </c>
      <c r="F8">
        <v>5</v>
      </c>
      <c r="G8">
        <v>5</v>
      </c>
      <c r="H8">
        <v>4</v>
      </c>
      <c r="I8">
        <v>3</v>
      </c>
      <c r="J8">
        <v>4</v>
      </c>
      <c r="K8">
        <v>3</v>
      </c>
      <c r="L8">
        <v>4</v>
      </c>
      <c r="M8">
        <v>5</v>
      </c>
      <c r="N8">
        <v>5</v>
      </c>
      <c r="O8">
        <v>4</v>
      </c>
      <c r="P8">
        <v>5</v>
      </c>
      <c r="Q8">
        <v>4</v>
      </c>
      <c r="R8">
        <v>5</v>
      </c>
      <c r="S8">
        <v>5</v>
      </c>
      <c r="T8">
        <v>5</v>
      </c>
      <c r="U8">
        <v>5</v>
      </c>
      <c r="V8">
        <v>5</v>
      </c>
      <c r="W8">
        <v>4</v>
      </c>
      <c r="X8">
        <v>5</v>
      </c>
      <c r="Y8">
        <v>3</v>
      </c>
      <c r="Z8">
        <v>4</v>
      </c>
    </row>
    <row r="10" spans="1:31" s="1" customFormat="1" x14ac:dyDescent="0.2"/>
    <row r="11" spans="1:31" s="2" customFormat="1" x14ac:dyDescent="0.2">
      <c r="A11" s="2" t="s">
        <v>9</v>
      </c>
    </row>
    <row r="12" spans="1:31" x14ac:dyDescent="0.2">
      <c r="A12" t="s">
        <v>10</v>
      </c>
      <c r="B12">
        <v>5</v>
      </c>
      <c r="C12">
        <v>4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3</v>
      </c>
      <c r="O12">
        <v>4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</row>
    <row r="13" spans="1:31" x14ac:dyDescent="0.2">
      <c r="A13" t="s">
        <v>11</v>
      </c>
      <c r="B13">
        <v>3</v>
      </c>
      <c r="C13">
        <v>2</v>
      </c>
      <c r="D13">
        <v>2</v>
      </c>
      <c r="E13">
        <v>2</v>
      </c>
      <c r="F13">
        <v>5</v>
      </c>
      <c r="G13">
        <v>4</v>
      </c>
      <c r="H13">
        <v>1</v>
      </c>
      <c r="I13">
        <v>2</v>
      </c>
      <c r="J13">
        <v>1</v>
      </c>
      <c r="K13">
        <v>1</v>
      </c>
      <c r="L13">
        <v>1</v>
      </c>
      <c r="M13">
        <v>5</v>
      </c>
      <c r="N13">
        <v>2</v>
      </c>
      <c r="O13">
        <v>1</v>
      </c>
      <c r="P13">
        <v>2</v>
      </c>
      <c r="Q13">
        <v>2</v>
      </c>
      <c r="R13">
        <v>2</v>
      </c>
      <c r="S13">
        <v>3</v>
      </c>
      <c r="T13">
        <v>1</v>
      </c>
      <c r="U13">
        <v>1</v>
      </c>
      <c r="V13">
        <v>1</v>
      </c>
      <c r="W13">
        <v>3</v>
      </c>
      <c r="X13">
        <v>2</v>
      </c>
      <c r="Y13">
        <v>1</v>
      </c>
      <c r="Z13">
        <v>1</v>
      </c>
    </row>
    <row r="14" spans="1:31" x14ac:dyDescent="0.2">
      <c r="A14" t="s">
        <v>12</v>
      </c>
      <c r="B14">
        <v>1</v>
      </c>
      <c r="C14">
        <v>3</v>
      </c>
      <c r="D14">
        <v>2</v>
      </c>
      <c r="E14">
        <v>4</v>
      </c>
      <c r="F14">
        <v>5</v>
      </c>
      <c r="G14">
        <v>1</v>
      </c>
      <c r="H14">
        <v>1</v>
      </c>
      <c r="I14">
        <v>3</v>
      </c>
      <c r="J14">
        <v>1</v>
      </c>
      <c r="K14">
        <v>1</v>
      </c>
      <c r="L14">
        <v>2</v>
      </c>
      <c r="M14">
        <v>5</v>
      </c>
      <c r="N14">
        <v>5</v>
      </c>
      <c r="O14">
        <v>2</v>
      </c>
      <c r="P14">
        <v>4</v>
      </c>
      <c r="Q14">
        <v>4</v>
      </c>
      <c r="R14">
        <v>5</v>
      </c>
      <c r="S14">
        <v>5</v>
      </c>
      <c r="T14">
        <v>2</v>
      </c>
      <c r="U14">
        <v>4</v>
      </c>
      <c r="V14">
        <v>3</v>
      </c>
      <c r="W14">
        <v>3</v>
      </c>
      <c r="X14">
        <v>3</v>
      </c>
      <c r="Y14">
        <v>5</v>
      </c>
      <c r="Z14">
        <v>3</v>
      </c>
    </row>
    <row r="15" spans="1:31" x14ac:dyDescent="0.2">
      <c r="A15" t="s">
        <v>15</v>
      </c>
      <c r="B15">
        <v>3</v>
      </c>
      <c r="C15">
        <v>4</v>
      </c>
      <c r="D15">
        <v>3</v>
      </c>
      <c r="E15">
        <v>4</v>
      </c>
      <c r="F15">
        <v>3</v>
      </c>
      <c r="G15">
        <v>3</v>
      </c>
      <c r="H15">
        <v>3</v>
      </c>
      <c r="I15">
        <v>1</v>
      </c>
      <c r="J15">
        <v>3</v>
      </c>
      <c r="K15">
        <v>1</v>
      </c>
      <c r="L15">
        <v>3</v>
      </c>
      <c r="M15">
        <v>3</v>
      </c>
      <c r="N15">
        <v>4</v>
      </c>
      <c r="O15">
        <v>3</v>
      </c>
      <c r="P15">
        <v>5</v>
      </c>
      <c r="Q15">
        <v>5</v>
      </c>
      <c r="R15">
        <v>5</v>
      </c>
      <c r="S15">
        <v>4</v>
      </c>
      <c r="T15">
        <v>2</v>
      </c>
      <c r="U15">
        <v>5</v>
      </c>
      <c r="V15">
        <v>5</v>
      </c>
      <c r="W15">
        <v>4</v>
      </c>
      <c r="X15">
        <v>5</v>
      </c>
      <c r="Y15">
        <v>4</v>
      </c>
      <c r="Z15">
        <v>5</v>
      </c>
    </row>
    <row r="16" spans="1:31" x14ac:dyDescent="0.2">
      <c r="A16" t="s">
        <v>13</v>
      </c>
      <c r="B16">
        <v>3</v>
      </c>
      <c r="C16">
        <v>1</v>
      </c>
      <c r="D16">
        <v>2</v>
      </c>
      <c r="E16">
        <v>3</v>
      </c>
      <c r="F16">
        <v>4</v>
      </c>
      <c r="G16">
        <v>4</v>
      </c>
      <c r="H16">
        <v>1</v>
      </c>
      <c r="I16">
        <v>2</v>
      </c>
      <c r="J16">
        <v>1</v>
      </c>
      <c r="K16">
        <v>3</v>
      </c>
      <c r="L16">
        <v>3</v>
      </c>
      <c r="M16">
        <v>3</v>
      </c>
      <c r="N16">
        <v>3</v>
      </c>
      <c r="O16">
        <v>2</v>
      </c>
      <c r="P16">
        <v>5</v>
      </c>
      <c r="Q16">
        <v>3</v>
      </c>
      <c r="R16">
        <v>3</v>
      </c>
      <c r="S16">
        <v>5</v>
      </c>
      <c r="T16">
        <v>2</v>
      </c>
      <c r="U16">
        <v>3</v>
      </c>
      <c r="V16">
        <v>4</v>
      </c>
      <c r="W16">
        <v>3</v>
      </c>
      <c r="X16">
        <v>5</v>
      </c>
      <c r="Y16">
        <v>2</v>
      </c>
      <c r="Z16">
        <v>2</v>
      </c>
    </row>
    <row r="17" spans="1:26" x14ac:dyDescent="0.2">
      <c r="A17" t="s">
        <v>14</v>
      </c>
      <c r="B17">
        <v>5</v>
      </c>
      <c r="C17">
        <v>2</v>
      </c>
      <c r="D17">
        <v>5</v>
      </c>
      <c r="E17">
        <v>5</v>
      </c>
      <c r="F17">
        <v>3</v>
      </c>
      <c r="G17">
        <v>4</v>
      </c>
      <c r="H17">
        <v>5</v>
      </c>
      <c r="I17">
        <v>3</v>
      </c>
      <c r="J17">
        <v>4</v>
      </c>
      <c r="K17">
        <v>2</v>
      </c>
      <c r="L17">
        <v>3</v>
      </c>
      <c r="M17">
        <v>3</v>
      </c>
      <c r="N17">
        <v>5</v>
      </c>
      <c r="O17">
        <v>2</v>
      </c>
      <c r="P17">
        <v>5</v>
      </c>
      <c r="Q17">
        <v>4</v>
      </c>
      <c r="R17">
        <v>4</v>
      </c>
      <c r="S17">
        <v>4</v>
      </c>
      <c r="T17">
        <v>4</v>
      </c>
      <c r="U17">
        <v>4</v>
      </c>
      <c r="V17">
        <v>3</v>
      </c>
      <c r="W17">
        <v>3</v>
      </c>
      <c r="X17">
        <v>5</v>
      </c>
      <c r="Y17">
        <v>1</v>
      </c>
      <c r="Z17">
        <v>5</v>
      </c>
    </row>
    <row r="20" spans="1:26" x14ac:dyDescent="0.2">
      <c r="A20" t="s">
        <v>47</v>
      </c>
      <c r="B20">
        <f>COUNT(B3:AE3)</f>
        <v>25</v>
      </c>
    </row>
    <row r="21" spans="1:26" x14ac:dyDescent="0.2">
      <c r="I21" t="s">
        <v>56</v>
      </c>
      <c r="J21" t="s">
        <v>44</v>
      </c>
      <c r="K21" t="s">
        <v>45</v>
      </c>
      <c r="L21" t="s">
        <v>46</v>
      </c>
      <c r="M21" t="s">
        <v>55</v>
      </c>
    </row>
    <row r="22" spans="1:26" x14ac:dyDescent="0.2">
      <c r="H22" t="s">
        <v>1</v>
      </c>
      <c r="I22" s="6">
        <f>AVERAGE(B3:AE3)</f>
        <v>4.72</v>
      </c>
      <c r="J22">
        <f>MIN(B3:AE3)</f>
        <v>3</v>
      </c>
      <c r="K22">
        <f>MAX(B3:AE3)</f>
        <v>5</v>
      </c>
      <c r="L22">
        <f>STDEV(B3:AE3)</f>
        <v>0.54160256030906262</v>
      </c>
      <c r="M22">
        <f>MEDIAN(B3:AE3)</f>
        <v>5</v>
      </c>
      <c r="N22" t="str">
        <f>$M$21 &amp; M22 &amp; ", " &amp; $I$21 &amp; TEXT(I22,"0.0")</f>
        <v>M=5, Avg=4.7</v>
      </c>
    </row>
    <row r="23" spans="1:26" x14ac:dyDescent="0.2">
      <c r="H23" t="s">
        <v>2</v>
      </c>
      <c r="I23" s="6">
        <f t="shared" ref="I23:I27" si="0">AVERAGE(B4:AE4)</f>
        <v>4.24</v>
      </c>
      <c r="J23">
        <f t="shared" ref="J23:J27" si="1">MIN(B4:AE4)</f>
        <v>1</v>
      </c>
      <c r="K23">
        <f t="shared" ref="K23:K27" si="2">MAX(B4:AE4)</f>
        <v>5</v>
      </c>
      <c r="L23">
        <f t="shared" ref="L23:L27" si="3">STDEV(B4:AE4)</f>
        <v>1.011599393699568</v>
      </c>
      <c r="M23">
        <f t="shared" ref="M23:M27" si="4">MEDIAN(B4:AE4)</f>
        <v>4</v>
      </c>
      <c r="N23" t="str">
        <f t="shared" ref="N23:N27" si="5">$M$21 &amp; M23 &amp; ", " &amp; $I$21 &amp; TEXT(I23,"0.0")</f>
        <v>M=4, Avg=4.2</v>
      </c>
    </row>
    <row r="24" spans="1:26" x14ac:dyDescent="0.2">
      <c r="H24" t="s">
        <v>3</v>
      </c>
      <c r="I24" s="6">
        <f t="shared" si="0"/>
        <v>4.28</v>
      </c>
      <c r="J24">
        <f t="shared" si="1"/>
        <v>2</v>
      </c>
      <c r="K24">
        <f t="shared" si="2"/>
        <v>5</v>
      </c>
      <c r="L24">
        <f t="shared" si="3"/>
        <v>0.97979589711327164</v>
      </c>
      <c r="M24">
        <f t="shared" si="4"/>
        <v>5</v>
      </c>
      <c r="N24" t="str">
        <f t="shared" si="5"/>
        <v>M=5, Avg=4.3</v>
      </c>
    </row>
    <row r="25" spans="1:26" x14ac:dyDescent="0.2">
      <c r="H25" t="s">
        <v>4</v>
      </c>
      <c r="I25" s="6">
        <f t="shared" si="0"/>
        <v>3.64</v>
      </c>
      <c r="J25">
        <f t="shared" si="1"/>
        <v>1</v>
      </c>
      <c r="K25">
        <f t="shared" si="2"/>
        <v>5</v>
      </c>
      <c r="L25">
        <f t="shared" si="3"/>
        <v>1.2206555615733701</v>
      </c>
      <c r="M25">
        <f t="shared" si="4"/>
        <v>4</v>
      </c>
      <c r="N25" t="str">
        <f t="shared" si="5"/>
        <v>M=4, Avg=3.6</v>
      </c>
    </row>
    <row r="26" spans="1:26" x14ac:dyDescent="0.2">
      <c r="H26" t="s">
        <v>5</v>
      </c>
      <c r="I26" s="6">
        <f t="shared" si="0"/>
        <v>2.64</v>
      </c>
      <c r="J26">
        <f t="shared" si="1"/>
        <v>1</v>
      </c>
      <c r="K26">
        <f t="shared" si="2"/>
        <v>5</v>
      </c>
      <c r="L26">
        <f t="shared" si="3"/>
        <v>1.1503622617824931</v>
      </c>
      <c r="M26">
        <f t="shared" si="4"/>
        <v>3</v>
      </c>
      <c r="N26" t="str">
        <f t="shared" si="5"/>
        <v>M=3, Avg=2.6</v>
      </c>
    </row>
    <row r="27" spans="1:26" x14ac:dyDescent="0.2">
      <c r="H27" t="s">
        <v>6</v>
      </c>
      <c r="I27" s="6">
        <f t="shared" si="0"/>
        <v>4.32</v>
      </c>
      <c r="J27">
        <f t="shared" si="1"/>
        <v>2</v>
      </c>
      <c r="K27">
        <f t="shared" si="2"/>
        <v>5</v>
      </c>
      <c r="L27">
        <f t="shared" si="3"/>
        <v>0.85244745683629475</v>
      </c>
      <c r="M27">
        <f t="shared" si="4"/>
        <v>5</v>
      </c>
      <c r="N27" t="str">
        <f t="shared" si="5"/>
        <v>M=5, Avg=4.3</v>
      </c>
    </row>
    <row r="30" spans="1:26" x14ac:dyDescent="0.2">
      <c r="I30" t="s">
        <v>56</v>
      </c>
      <c r="J30" t="s">
        <v>44</v>
      </c>
      <c r="K30" t="s">
        <v>45</v>
      </c>
      <c r="L30" t="s">
        <v>46</v>
      </c>
      <c r="M30" t="s">
        <v>55</v>
      </c>
    </row>
    <row r="31" spans="1:26" x14ac:dyDescent="0.2">
      <c r="H31" t="s">
        <v>10</v>
      </c>
      <c r="I31">
        <f>AVERAGE(B12:AE12)</f>
        <v>4.84</v>
      </c>
      <c r="J31">
        <f>MIN(B12:AE12)</f>
        <v>3</v>
      </c>
      <c r="K31">
        <f>MAX(B12:AE12)</f>
        <v>5</v>
      </c>
      <c r="L31">
        <f>STDEV(B12:AE12)</f>
        <v>0.47258156262526074</v>
      </c>
      <c r="M31">
        <f>MEDIAN(B12:AE12)</f>
        <v>5</v>
      </c>
      <c r="N31" t="str">
        <f>$M$30 &amp; M31 &amp; ", " &amp; $I$30 &amp; TEXT(I31,"0.0")</f>
        <v>M=5, Avg=4.8</v>
      </c>
    </row>
    <row r="32" spans="1:26" x14ac:dyDescent="0.2">
      <c r="H32" t="s">
        <v>11</v>
      </c>
      <c r="I32">
        <f t="shared" ref="I32:I36" si="6">AVERAGE(B13:AE13)</f>
        <v>2.04</v>
      </c>
      <c r="J32">
        <f t="shared" ref="J32:J36" si="7">MIN(B13:AE13)</f>
        <v>1</v>
      </c>
      <c r="K32">
        <f t="shared" ref="K32:K36" si="8">MAX(B13:AE13)</f>
        <v>5</v>
      </c>
      <c r="L32">
        <f t="shared" ref="L32:L36" si="9">STDEV(B13:AE13)</f>
        <v>1.2069244660154448</v>
      </c>
      <c r="M32">
        <f t="shared" ref="M32:M36" si="10">MEDIAN(B13:AE13)</f>
        <v>2</v>
      </c>
      <c r="N32" t="str">
        <f t="shared" ref="N32:N36" si="11">$M$30 &amp; M32 &amp; ", " &amp; $I$30 &amp; TEXT(I32,"0.0")</f>
        <v>M=2, Avg=2.0</v>
      </c>
    </row>
    <row r="33" spans="8:15" x14ac:dyDescent="0.2">
      <c r="H33" t="s">
        <v>12</v>
      </c>
      <c r="I33">
        <f t="shared" si="6"/>
        <v>3.08</v>
      </c>
      <c r="J33">
        <f t="shared" si="7"/>
        <v>1</v>
      </c>
      <c r="K33">
        <f t="shared" si="8"/>
        <v>5</v>
      </c>
      <c r="L33">
        <f t="shared" si="9"/>
        <v>1.4696938456699069</v>
      </c>
      <c r="M33">
        <f t="shared" si="10"/>
        <v>3</v>
      </c>
      <c r="N33" t="str">
        <f t="shared" si="11"/>
        <v>M=3, Avg=3.1</v>
      </c>
    </row>
    <row r="34" spans="8:15" x14ac:dyDescent="0.2">
      <c r="H34" t="s">
        <v>15</v>
      </c>
      <c r="I34">
        <f t="shared" si="6"/>
        <v>3.6</v>
      </c>
      <c r="J34">
        <f t="shared" si="7"/>
        <v>1</v>
      </c>
      <c r="K34">
        <f t="shared" si="8"/>
        <v>5</v>
      </c>
      <c r="L34">
        <f t="shared" si="9"/>
        <v>1.1902380714238083</v>
      </c>
      <c r="M34">
        <f t="shared" si="10"/>
        <v>4</v>
      </c>
      <c r="N34" t="str">
        <f t="shared" si="11"/>
        <v>M=4, Avg=3.6</v>
      </c>
    </row>
    <row r="35" spans="8:15" x14ac:dyDescent="0.2">
      <c r="H35" t="s">
        <v>13</v>
      </c>
      <c r="I35">
        <f t="shared" si="6"/>
        <v>2.88</v>
      </c>
      <c r="J35">
        <f t="shared" si="7"/>
        <v>1</v>
      </c>
      <c r="K35">
        <f t="shared" si="8"/>
        <v>5</v>
      </c>
      <c r="L35">
        <f t="shared" si="9"/>
        <v>1.1661903789690597</v>
      </c>
      <c r="M35">
        <f t="shared" si="10"/>
        <v>3</v>
      </c>
      <c r="N35" t="str">
        <f t="shared" si="11"/>
        <v>M=3, Avg=2.9</v>
      </c>
    </row>
    <row r="36" spans="8:15" x14ac:dyDescent="0.2">
      <c r="H36" t="s">
        <v>14</v>
      </c>
      <c r="I36">
        <f t="shared" si="6"/>
        <v>3.72</v>
      </c>
      <c r="J36">
        <f t="shared" si="7"/>
        <v>1</v>
      </c>
      <c r="K36">
        <f t="shared" si="8"/>
        <v>5</v>
      </c>
      <c r="L36">
        <f t="shared" si="9"/>
        <v>1.1733143937865365</v>
      </c>
      <c r="M36">
        <f t="shared" si="10"/>
        <v>4</v>
      </c>
      <c r="N36" t="str">
        <f t="shared" si="11"/>
        <v>M=4, Avg=3.7</v>
      </c>
    </row>
    <row r="38" spans="8:15" x14ac:dyDescent="0.2">
      <c r="I38">
        <v>1</v>
      </c>
      <c r="J38">
        <v>2</v>
      </c>
      <c r="K38">
        <v>3</v>
      </c>
      <c r="L38">
        <v>4</v>
      </c>
      <c r="M38">
        <v>5</v>
      </c>
    </row>
    <row r="39" spans="8:15" x14ac:dyDescent="0.2">
      <c r="H39" t="s">
        <v>1</v>
      </c>
      <c r="I39" cm="1">
        <f t="array" ref="I39">SUMPRODUCT(LEN($B$3:$AE$3)-LEN(SUBSTITUTE($B$3:$AE$3,I38,"")))</f>
        <v>0</v>
      </c>
      <c r="J39" cm="1">
        <f t="array" ref="J39">SUMPRODUCT(LEN($B$3:$AE$3)-LEN(SUBSTITUTE($B$3:$AE$3,J38,"")))</f>
        <v>0</v>
      </c>
      <c r="K39" cm="1">
        <f t="array" ref="K39">SUMPRODUCT(LEN($B$3:$AE$3)-LEN(SUBSTITUTE($B$3:$AE$3,K38,"")))</f>
        <v>1</v>
      </c>
      <c r="L39" cm="1">
        <f t="array" ref="L39">SUMPRODUCT(LEN($B$3:$AE$3)-LEN(SUBSTITUTE($B$3:$AE$3,L38,"")))</f>
        <v>5</v>
      </c>
      <c r="M39" cm="1">
        <f t="array" ref="M39">SUMPRODUCT(LEN($B$3:$AE$3)-LEN(SUBSTITUTE($B$3:$AE$3,M38,"")))</f>
        <v>19</v>
      </c>
    </row>
    <row r="40" spans="8:15" x14ac:dyDescent="0.2">
      <c r="H40" t="s">
        <v>2</v>
      </c>
      <c r="I40" cm="1">
        <f t="array" ref="I40">SUMPRODUCT(LEN($B$4:$AE$4)-LEN(SUBSTITUTE($B$4:$AE$4,I38,"")))</f>
        <v>1</v>
      </c>
      <c r="J40" cm="1">
        <f t="array" ref="J40">SUMPRODUCT(LEN($B$4:$AE$4)-LEN(SUBSTITUTE($B$4:$AE$4,J38,"")))</f>
        <v>1</v>
      </c>
      <c r="K40" cm="1">
        <f t="array" ref="K40">SUMPRODUCT(LEN($B$4:$AE$4)-LEN(SUBSTITUTE($B$4:$AE$4,K38,"")))</f>
        <v>1</v>
      </c>
      <c r="L40" cm="1">
        <f t="array" ref="L40">SUMPRODUCT(LEN($B$4:$AE$4)-LEN(SUBSTITUTE($B$4:$AE$4,L38,"")))</f>
        <v>10</v>
      </c>
      <c r="M40" cm="1">
        <f t="array" ref="M40">SUMPRODUCT(LEN($B$4:$AE$4)-LEN(SUBSTITUTE($B$4:$AE$4,M38,"")))</f>
        <v>12</v>
      </c>
    </row>
    <row r="41" spans="8:15" x14ac:dyDescent="0.2">
      <c r="H41" t="s">
        <v>3</v>
      </c>
      <c r="I41" cm="1">
        <f t="array" ref="I41">SUMPRODUCT(LEN($B$5:$AE$5)-LEN(SUBSTITUTE($B$5:$AE$5,I38,"")))</f>
        <v>0</v>
      </c>
      <c r="J41" cm="1">
        <f t="array" ref="J41">SUMPRODUCT(LEN($B$5:$AE$5)-LEN(SUBSTITUTE($B$5:$AE$5,J38,"")))</f>
        <v>2</v>
      </c>
      <c r="K41" cm="1">
        <f t="array" ref="K41">SUMPRODUCT(LEN($B$5:$AE$5)-LEN(SUBSTITUTE($B$5:$AE$5,K38,"")))</f>
        <v>3</v>
      </c>
      <c r="L41" cm="1">
        <f t="array" ref="L41">SUMPRODUCT(LEN($B$5:$AE$5)-LEN(SUBSTITUTE($B$5:$AE$5,L38,"")))</f>
        <v>6</v>
      </c>
      <c r="M41" cm="1">
        <f t="array" ref="M41">SUMPRODUCT(LEN($B$5:$AE$5)-LEN(SUBSTITUTE($B$5:$AE$5,M38,"")))</f>
        <v>14</v>
      </c>
    </row>
    <row r="42" spans="8:15" x14ac:dyDescent="0.2">
      <c r="H42" t="s">
        <v>4</v>
      </c>
      <c r="I42" cm="1">
        <f t="array" ref="I42">SUMPRODUCT(LEN($B$6:$AE$6)-LEN(SUBSTITUTE($B$6:$AE$6,I38,"")))</f>
        <v>2</v>
      </c>
      <c r="J42" cm="1">
        <f t="array" ref="J42">SUMPRODUCT(LEN($B$6:$AE$6)-LEN(SUBSTITUTE($B$6:$AE$6,J38,"")))</f>
        <v>2</v>
      </c>
      <c r="K42" cm="1">
        <f t="array" ref="K42">SUMPRODUCT(LEN($B$6:$AE$6)-LEN(SUBSTITUTE($B$6:$AE$6,K38,"")))</f>
        <v>6</v>
      </c>
      <c r="L42" cm="1">
        <f t="array" ref="L42">SUMPRODUCT(LEN($B$6:$AE$6)-LEN(SUBSTITUTE($B$6:$AE$6,L38,"")))</f>
        <v>8</v>
      </c>
      <c r="M42" cm="1">
        <f t="array" ref="M42">SUMPRODUCT(LEN($B$6:$AE$6)-LEN(SUBSTITUTE($B$6:$AE$6,M38,"")))</f>
        <v>7</v>
      </c>
    </row>
    <row r="43" spans="8:15" x14ac:dyDescent="0.2">
      <c r="H43" t="s">
        <v>5</v>
      </c>
      <c r="I43" cm="1">
        <f t="array" ref="I43">SUMPRODUCT(LEN($B$7:$AE$7)-LEN(SUBSTITUTE($B$7:$AE$7,I38,"")))</f>
        <v>5</v>
      </c>
      <c r="J43" cm="1">
        <f t="array" ref="J43">SUMPRODUCT(LEN($B$7:$AE$7)-LEN(SUBSTITUTE($B$7:$AE$7,J38,"")))</f>
        <v>5</v>
      </c>
      <c r="K43" cm="1">
        <f t="array" ref="K43">SUMPRODUCT(LEN($B$7:$AE$7)-LEN(SUBSTITUTE($B$7:$AE$7,K38,"")))</f>
        <v>11</v>
      </c>
      <c r="L43" cm="1">
        <f t="array" ref="L43">SUMPRODUCT(LEN($B$7:$AE$7)-LEN(SUBSTITUTE($B$7:$AE$7,L38,"")))</f>
        <v>2</v>
      </c>
      <c r="M43" cm="1">
        <f t="array" ref="M43">SUMPRODUCT(LEN($B$7:$AE$7)-LEN(SUBSTITUTE($B$7:$AE$7,M38,"")))</f>
        <v>2</v>
      </c>
    </row>
    <row r="44" spans="8:15" x14ac:dyDescent="0.2">
      <c r="H44" t="s">
        <v>6</v>
      </c>
      <c r="I44" cm="1">
        <f t="array" ref="I44">SUMPRODUCT(LEN($B$8:$AE$8)-LEN(SUBSTITUTE($B$8:$AE$8,I38,"")))</f>
        <v>0</v>
      </c>
      <c r="J44" cm="1">
        <f t="array" ref="J44">SUMPRODUCT(LEN($B$8:$AE$8)-LEN(SUBSTITUTE($B$8:$AE$8,J38,"")))</f>
        <v>1</v>
      </c>
      <c r="K44" cm="1">
        <f t="array" ref="K44">SUMPRODUCT(LEN($B$8:$AE$8)-LEN(SUBSTITUTE($B$8:$AE$8,K38,"")))</f>
        <v>3</v>
      </c>
      <c r="L44" cm="1">
        <f t="array" ref="L44">SUMPRODUCT(LEN($B$8:$AE$8)-LEN(SUBSTITUTE($B$8:$AE$8,L38,"")))</f>
        <v>8</v>
      </c>
      <c r="M44" cm="1">
        <f t="array" ref="M44">SUMPRODUCT(LEN($B$8:$AE$8)-LEN(SUBSTITUTE($B$8:$AE$8,M38,"")))</f>
        <v>13</v>
      </c>
    </row>
    <row r="47" spans="8:15" x14ac:dyDescent="0.2">
      <c r="I47" t="s">
        <v>48</v>
      </c>
      <c r="J47" t="s">
        <v>53</v>
      </c>
      <c r="K47" t="s">
        <v>52</v>
      </c>
      <c r="L47" t="s">
        <v>51</v>
      </c>
      <c r="M47" t="s">
        <v>50</v>
      </c>
      <c r="N47" t="s">
        <v>49</v>
      </c>
      <c r="O47" t="s">
        <v>54</v>
      </c>
    </row>
    <row r="48" spans="8:15" x14ac:dyDescent="0.2">
      <c r="H48" t="s">
        <v>1</v>
      </c>
      <c r="I48" s="5">
        <f>(M48+N48)+L48/2</f>
        <v>0.98</v>
      </c>
      <c r="J48" s="4">
        <f>I39/$B20</f>
        <v>0</v>
      </c>
      <c r="K48" s="4">
        <f>J39/$B20</f>
        <v>0</v>
      </c>
      <c r="L48" s="4">
        <f>K39/$B20</f>
        <v>0.04</v>
      </c>
      <c r="M48" s="4">
        <f>L39/$B20</f>
        <v>0.2</v>
      </c>
      <c r="N48" s="4">
        <f>M39/$B20</f>
        <v>0.76</v>
      </c>
      <c r="O48" s="5">
        <f>(J48+K48)+L48/2</f>
        <v>0.02</v>
      </c>
    </row>
    <row r="49" spans="8:15" x14ac:dyDescent="0.2">
      <c r="H49" t="s">
        <v>2</v>
      </c>
      <c r="I49" s="5">
        <f>(M49+N49)+L49/2</f>
        <v>0.9</v>
      </c>
      <c r="J49" s="4">
        <f>I40/$B20</f>
        <v>0.04</v>
      </c>
      <c r="K49" s="4">
        <f t="shared" ref="K49:N49" si="12">J40/$B20</f>
        <v>0.04</v>
      </c>
      <c r="L49" s="4">
        <f t="shared" si="12"/>
        <v>0.04</v>
      </c>
      <c r="M49" s="4">
        <f t="shared" si="12"/>
        <v>0.4</v>
      </c>
      <c r="N49" s="4">
        <f t="shared" si="12"/>
        <v>0.48</v>
      </c>
      <c r="O49" s="5">
        <f t="shared" ref="O49:O53" si="13">(J49+K49)+L49/2</f>
        <v>0.1</v>
      </c>
    </row>
    <row r="50" spans="8:15" x14ac:dyDescent="0.2">
      <c r="H50" t="s">
        <v>3</v>
      </c>
      <c r="I50" s="5">
        <f>(M50+N50)+L50/2</f>
        <v>0.8600000000000001</v>
      </c>
      <c r="J50" s="4">
        <f>I41/$B20</f>
        <v>0</v>
      </c>
      <c r="K50" s="4">
        <f t="shared" ref="K50:N50" si="14">J41/$B20</f>
        <v>0.08</v>
      </c>
      <c r="L50" s="4">
        <f t="shared" si="14"/>
        <v>0.12</v>
      </c>
      <c r="M50" s="4">
        <f t="shared" si="14"/>
        <v>0.24</v>
      </c>
      <c r="N50" s="4">
        <f t="shared" si="14"/>
        <v>0.56000000000000005</v>
      </c>
      <c r="O50" s="5">
        <f t="shared" si="13"/>
        <v>0.14000000000000001</v>
      </c>
    </row>
    <row r="51" spans="8:15" x14ac:dyDescent="0.2">
      <c r="H51" t="s">
        <v>4</v>
      </c>
      <c r="I51" s="5">
        <f t="shared" ref="I51:I53" si="15">(M51+N51)+L51/2</f>
        <v>0.72000000000000008</v>
      </c>
      <c r="J51" s="4">
        <f>I42/$B20</f>
        <v>0.08</v>
      </c>
      <c r="K51" s="4">
        <f t="shared" ref="K51:N51" si="16">J42/$B20</f>
        <v>0.08</v>
      </c>
      <c r="L51" s="4">
        <f t="shared" si="16"/>
        <v>0.24</v>
      </c>
      <c r="M51" s="4">
        <f t="shared" si="16"/>
        <v>0.32</v>
      </c>
      <c r="N51" s="4">
        <f t="shared" si="16"/>
        <v>0.28000000000000003</v>
      </c>
      <c r="O51" s="5">
        <f t="shared" si="13"/>
        <v>0.28000000000000003</v>
      </c>
    </row>
    <row r="52" spans="8:15" x14ac:dyDescent="0.2">
      <c r="H52" t="s">
        <v>5</v>
      </c>
      <c r="I52" s="5">
        <f t="shared" si="15"/>
        <v>0.38</v>
      </c>
      <c r="J52" s="4">
        <f>I43/$B20</f>
        <v>0.2</v>
      </c>
      <c r="K52" s="4">
        <f t="shared" ref="K52:N52" si="17">J43/$B20</f>
        <v>0.2</v>
      </c>
      <c r="L52" s="4">
        <f t="shared" si="17"/>
        <v>0.44</v>
      </c>
      <c r="M52" s="4">
        <f t="shared" si="17"/>
        <v>0.08</v>
      </c>
      <c r="N52" s="4">
        <f t="shared" si="17"/>
        <v>0.08</v>
      </c>
      <c r="O52" s="5">
        <f t="shared" si="13"/>
        <v>0.62</v>
      </c>
    </row>
    <row r="53" spans="8:15" x14ac:dyDescent="0.2">
      <c r="H53" t="s">
        <v>6</v>
      </c>
      <c r="I53" s="5">
        <f t="shared" si="15"/>
        <v>0.90000000000000013</v>
      </c>
      <c r="J53" s="4">
        <f>I44/$B20</f>
        <v>0</v>
      </c>
      <c r="K53" s="4">
        <f t="shared" ref="K53:N53" si="18">J44/$B20</f>
        <v>0.04</v>
      </c>
      <c r="L53" s="4">
        <f t="shared" si="18"/>
        <v>0.12</v>
      </c>
      <c r="M53" s="4">
        <f t="shared" si="18"/>
        <v>0.32</v>
      </c>
      <c r="N53" s="4">
        <f t="shared" si="18"/>
        <v>0.52</v>
      </c>
      <c r="O53" s="5">
        <f t="shared" si="13"/>
        <v>0.1</v>
      </c>
    </row>
    <row r="57" spans="8:15" x14ac:dyDescent="0.2">
      <c r="I57">
        <v>1</v>
      </c>
      <c r="J57">
        <v>2</v>
      </c>
      <c r="K57">
        <v>3</v>
      </c>
      <c r="L57">
        <v>4</v>
      </c>
      <c r="M57">
        <v>5</v>
      </c>
    </row>
    <row r="58" spans="8:15" x14ac:dyDescent="0.2">
      <c r="H58" t="s">
        <v>10</v>
      </c>
      <c r="I58" cm="1">
        <f t="array" ref="I58">SUMPRODUCT(LEN($B$12:$AE$12)-LEN(SUBSTITUTE($B$12:$AE$12,I57,"")))</f>
        <v>0</v>
      </c>
      <c r="J58" cm="1">
        <f t="array" ref="J58">SUMPRODUCT(LEN($B$12:$AE$12)-LEN(SUBSTITUTE($B$12:$AE$12,J57,"")))</f>
        <v>0</v>
      </c>
      <c r="K58" cm="1">
        <f t="array" ref="K58">SUMPRODUCT(LEN($B$12:$AE$12)-LEN(SUBSTITUTE($B$12:$AE$12,K57,"")))</f>
        <v>1</v>
      </c>
      <c r="L58" cm="1">
        <f t="array" ref="L58">SUMPRODUCT(LEN($B$12:$AE$12)-LEN(SUBSTITUTE($B$12:$AE$12,L57,"")))</f>
        <v>2</v>
      </c>
      <c r="M58" cm="1">
        <f t="array" ref="M58">SUMPRODUCT(LEN($B$12:$AE$12)-LEN(SUBSTITUTE($B$12:$AE$12,M57,"")))</f>
        <v>22</v>
      </c>
    </row>
    <row r="59" spans="8:15" x14ac:dyDescent="0.2">
      <c r="H59" t="s">
        <v>11</v>
      </c>
      <c r="I59" cm="1">
        <f t="array" ref="I59">SUMPRODUCT(LEN($B$13:$AE$13)-LEN(SUBSTITUTE($B$13:$AE$13,I57,"")))</f>
        <v>10</v>
      </c>
      <c r="J59" cm="1">
        <f t="array" ref="J59">SUMPRODUCT(LEN($B$13:$AE$13)-LEN(SUBSTITUTE($B$13:$AE$13,J57,"")))</f>
        <v>9</v>
      </c>
      <c r="K59" cm="1">
        <f t="array" ref="K59">SUMPRODUCT(LEN($B$13:$AE$13)-LEN(SUBSTITUTE($B$13:$AE$13,K57,"")))</f>
        <v>3</v>
      </c>
      <c r="L59" cm="1">
        <f t="array" ref="L59">SUMPRODUCT(LEN($B$13:$AE$13)-LEN(SUBSTITUTE($B$13:$AE$13,L57,"")))</f>
        <v>1</v>
      </c>
      <c r="M59" cm="1">
        <f t="array" ref="M59">SUMPRODUCT(LEN($B$13:$AE$13)-LEN(SUBSTITUTE($B$13:$AE$13,M57,"")))</f>
        <v>2</v>
      </c>
    </row>
    <row r="60" spans="8:15" x14ac:dyDescent="0.2">
      <c r="H60" t="s">
        <v>12</v>
      </c>
      <c r="I60" cm="1">
        <f t="array" ref="I60">SUMPRODUCT(LEN($B$14:$AE$14)-LEN(SUBSTITUTE($B$14:$AE$14,I57,"")))</f>
        <v>5</v>
      </c>
      <c r="J60" cm="1">
        <f t="array" ref="J60">SUMPRODUCT(LEN($B$14:$AE$14)-LEN(SUBSTITUTE($B$14:$AE$14,J57,"")))</f>
        <v>4</v>
      </c>
      <c r="K60" cm="1">
        <f t="array" ref="K60">SUMPRODUCT(LEN($B$14:$AE$14)-LEN(SUBSTITUTE($B$14:$AE$14,K57,"")))</f>
        <v>6</v>
      </c>
      <c r="L60" cm="1">
        <f t="array" ref="L60">SUMPRODUCT(LEN($B$14:$AE$14)-LEN(SUBSTITUTE($B$14:$AE$14,L57,"")))</f>
        <v>4</v>
      </c>
      <c r="M60" cm="1">
        <f t="array" ref="M60">SUMPRODUCT(LEN($B$14:$AE$14)-LEN(SUBSTITUTE($B$14:$AE$14,M57,"")))</f>
        <v>6</v>
      </c>
    </row>
    <row r="61" spans="8:15" x14ac:dyDescent="0.2">
      <c r="H61" t="s">
        <v>15</v>
      </c>
      <c r="I61" cm="1">
        <f t="array" ref="I61">SUMPRODUCT(LEN($B$14:$AE$14)-LEN(SUBSTITUTE($B$14:$AE$14,I57,"")))</f>
        <v>5</v>
      </c>
      <c r="J61" cm="1">
        <f t="array" ref="J61">SUMPRODUCT(LEN($B$14:$AE$14)-LEN(SUBSTITUTE($B$14:$AE$14,J57,"")))</f>
        <v>4</v>
      </c>
      <c r="K61" cm="1">
        <f t="array" ref="K61">SUMPRODUCT(LEN($B$14:$AE$14)-LEN(SUBSTITUTE($B$14:$AE$14,K57,"")))</f>
        <v>6</v>
      </c>
      <c r="L61" cm="1">
        <f t="array" ref="L61">SUMPRODUCT(LEN($B$14:$AE$14)-LEN(SUBSTITUTE($B$14:$AE$14,L57,"")))</f>
        <v>4</v>
      </c>
      <c r="M61" cm="1">
        <f t="array" ref="M61">SUMPRODUCT(LEN($B$14:$AE$14)-LEN(SUBSTITUTE($B$14:$AE$14,M57,"")))</f>
        <v>6</v>
      </c>
    </row>
    <row r="62" spans="8:15" x14ac:dyDescent="0.2">
      <c r="H62" t="s">
        <v>13</v>
      </c>
      <c r="I62" cm="1">
        <f t="array" ref="I62">SUMPRODUCT(LEN($B$16:$AE$16)-LEN(SUBSTITUTE($B$16:$AE$16,I57,"")))</f>
        <v>3</v>
      </c>
      <c r="J62" cm="1">
        <f t="array" ref="J62">SUMPRODUCT(LEN($B$16:$AE$16)-LEN(SUBSTITUTE($B$16:$AE$16,J57,"")))</f>
        <v>6</v>
      </c>
      <c r="K62" cm="1">
        <f t="array" ref="K62">SUMPRODUCT(LEN($B$16:$AE$16)-LEN(SUBSTITUTE($B$16:$AE$16,K57,"")))</f>
        <v>10</v>
      </c>
      <c r="L62" cm="1">
        <f t="array" ref="L62">SUMPRODUCT(LEN($B$16:$AE$16)-LEN(SUBSTITUTE($B$16:$AE$16,L57,"")))</f>
        <v>3</v>
      </c>
      <c r="M62" cm="1">
        <f t="array" ref="M62">SUMPRODUCT(LEN($B$16:$AE$16)-LEN(SUBSTITUTE($B$16:$AE$16,M57,"")))</f>
        <v>3</v>
      </c>
    </row>
    <row r="63" spans="8:15" x14ac:dyDescent="0.2">
      <c r="H63" t="s">
        <v>14</v>
      </c>
      <c r="I63" cm="1">
        <f t="array" ref="I63">SUMPRODUCT(LEN($B$17:$AE$17)-LEN(SUBSTITUTE($B$17:$AE$17,I57,"")))</f>
        <v>1</v>
      </c>
      <c r="J63" cm="1">
        <f t="array" ref="J63">SUMPRODUCT(LEN($B$17:$AE$17)-LEN(SUBSTITUTE($B$17:$AE$17,J57,"")))</f>
        <v>3</v>
      </c>
      <c r="K63" cm="1">
        <f t="array" ref="K63">SUMPRODUCT(LEN($B$17:$AE$17)-LEN(SUBSTITUTE($B$17:$AE$17,K57,"")))</f>
        <v>6</v>
      </c>
      <c r="L63" cm="1">
        <f t="array" ref="L63">SUMPRODUCT(LEN($B$17:$AE$17)-LEN(SUBSTITUTE($B$17:$AE$17,L57,"")))</f>
        <v>7</v>
      </c>
      <c r="M63" cm="1">
        <f t="array" ref="M63">SUMPRODUCT(LEN($B$17:$AE$17)-LEN(SUBSTITUTE($B$17:$AE$17,M57,"")))</f>
        <v>8</v>
      </c>
    </row>
    <row r="66" spans="8:15" x14ac:dyDescent="0.2">
      <c r="I66" t="s">
        <v>48</v>
      </c>
      <c r="J66" t="s">
        <v>53</v>
      </c>
      <c r="K66" t="s">
        <v>52</v>
      </c>
      <c r="L66" t="s">
        <v>51</v>
      </c>
      <c r="M66" t="s">
        <v>50</v>
      </c>
      <c r="N66" t="s">
        <v>49</v>
      </c>
      <c r="O66" t="s">
        <v>54</v>
      </c>
    </row>
    <row r="67" spans="8:15" x14ac:dyDescent="0.2">
      <c r="H67" t="s">
        <v>10</v>
      </c>
      <c r="I67" s="4">
        <f>(M67+N67)+L67/2</f>
        <v>0.98</v>
      </c>
      <c r="J67" s="4">
        <f>I58/$B$20</f>
        <v>0</v>
      </c>
      <c r="K67" s="4">
        <f t="shared" ref="K67:N67" si="19">J58/$B20</f>
        <v>0</v>
      </c>
      <c r="L67" s="4">
        <f t="shared" si="19"/>
        <v>0.04</v>
      </c>
      <c r="M67" s="4">
        <f t="shared" si="19"/>
        <v>0.08</v>
      </c>
      <c r="N67" s="4">
        <f t="shared" si="19"/>
        <v>0.88</v>
      </c>
      <c r="O67" s="4">
        <f>(J67+K67)+L67/2</f>
        <v>0.02</v>
      </c>
    </row>
    <row r="68" spans="8:15" x14ac:dyDescent="0.2">
      <c r="H68" t="s">
        <v>11</v>
      </c>
      <c r="I68" s="4">
        <f t="shared" ref="I68:I72" si="20">(M68+N68)+L68/2</f>
        <v>0.18</v>
      </c>
      <c r="J68" s="4">
        <f t="shared" ref="J68:N72" si="21">I59/$B$20</f>
        <v>0.4</v>
      </c>
      <c r="K68" s="4">
        <f t="shared" si="21"/>
        <v>0.36</v>
      </c>
      <c r="L68" s="4">
        <f t="shared" si="21"/>
        <v>0.12</v>
      </c>
      <c r="M68" s="4">
        <f t="shared" si="21"/>
        <v>0.04</v>
      </c>
      <c r="N68" s="4">
        <f t="shared" si="21"/>
        <v>0.08</v>
      </c>
      <c r="O68" s="4">
        <f t="shared" ref="O68:O72" si="22">(J68+K68)+L68/2</f>
        <v>0.82000000000000006</v>
      </c>
    </row>
    <row r="69" spans="8:15" x14ac:dyDescent="0.2">
      <c r="H69" t="s">
        <v>12</v>
      </c>
      <c r="I69" s="4">
        <f t="shared" si="20"/>
        <v>0.52</v>
      </c>
      <c r="J69" s="4">
        <f t="shared" si="21"/>
        <v>0.2</v>
      </c>
      <c r="K69" s="4">
        <f>J60/$B$20</f>
        <v>0.16</v>
      </c>
      <c r="L69" s="4">
        <f t="shared" si="21"/>
        <v>0.24</v>
      </c>
      <c r="M69" s="4">
        <f t="shared" si="21"/>
        <v>0.16</v>
      </c>
      <c r="N69" s="4">
        <f t="shared" si="21"/>
        <v>0.24</v>
      </c>
      <c r="O69" s="4">
        <f t="shared" si="22"/>
        <v>0.48</v>
      </c>
    </row>
    <row r="70" spans="8:15" x14ac:dyDescent="0.2">
      <c r="H70" t="s">
        <v>15</v>
      </c>
      <c r="I70" s="4">
        <f t="shared" si="20"/>
        <v>0.52</v>
      </c>
      <c r="J70" s="4">
        <f t="shared" si="21"/>
        <v>0.2</v>
      </c>
      <c r="K70" s="4">
        <f t="shared" si="21"/>
        <v>0.16</v>
      </c>
      <c r="L70" s="4">
        <f t="shared" si="21"/>
        <v>0.24</v>
      </c>
      <c r="M70" s="4">
        <f t="shared" si="21"/>
        <v>0.16</v>
      </c>
      <c r="N70" s="4">
        <f t="shared" si="21"/>
        <v>0.24</v>
      </c>
      <c r="O70" s="4">
        <f t="shared" si="22"/>
        <v>0.48</v>
      </c>
    </row>
    <row r="71" spans="8:15" x14ac:dyDescent="0.2">
      <c r="H71" t="s">
        <v>13</v>
      </c>
      <c r="I71" s="4">
        <f t="shared" si="20"/>
        <v>0.44</v>
      </c>
      <c r="J71" s="4">
        <f t="shared" si="21"/>
        <v>0.12</v>
      </c>
      <c r="K71" s="4">
        <f t="shared" si="21"/>
        <v>0.24</v>
      </c>
      <c r="L71" s="4">
        <f t="shared" si="21"/>
        <v>0.4</v>
      </c>
      <c r="M71" s="4">
        <f t="shared" si="21"/>
        <v>0.12</v>
      </c>
      <c r="N71" s="4">
        <f>M62/$B$20</f>
        <v>0.12</v>
      </c>
      <c r="O71" s="4">
        <f t="shared" si="22"/>
        <v>0.56000000000000005</v>
      </c>
    </row>
    <row r="72" spans="8:15" x14ac:dyDescent="0.2">
      <c r="H72" t="s">
        <v>14</v>
      </c>
      <c r="I72" s="4">
        <f t="shared" si="20"/>
        <v>0.72000000000000008</v>
      </c>
      <c r="J72" s="4">
        <f t="shared" si="21"/>
        <v>0.04</v>
      </c>
      <c r="K72" s="4">
        <f t="shared" si="21"/>
        <v>0.12</v>
      </c>
      <c r="L72" s="4">
        <f t="shared" si="21"/>
        <v>0.24</v>
      </c>
      <c r="M72" s="4">
        <f t="shared" si="21"/>
        <v>0.28000000000000003</v>
      </c>
      <c r="N72" s="4">
        <f t="shared" si="21"/>
        <v>0.32</v>
      </c>
      <c r="O72" s="4">
        <f t="shared" si="22"/>
        <v>0.28000000000000003</v>
      </c>
    </row>
  </sheetData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2991E374CF643A565692E6FA309E6" ma:contentTypeVersion="15" ma:contentTypeDescription="Create a new document." ma:contentTypeScope="" ma:versionID="bf3c971fd2b84cf5805bed21c13f320a">
  <xsd:schema xmlns:xsd="http://www.w3.org/2001/XMLSchema" xmlns:xs="http://www.w3.org/2001/XMLSchema" xmlns:p="http://schemas.microsoft.com/office/2006/metadata/properties" xmlns:ns2="f5952aad-cd65-4de3-8d4e-24c335e63d1a" xmlns:ns3="7cf50504-7577-403d-8bfd-cd0f33dbfe10" targetNamespace="http://schemas.microsoft.com/office/2006/metadata/properties" ma:root="true" ma:fieldsID="a576cfbba1105ff83c94da3679f4ff15" ns2:_="" ns3:_="">
    <xsd:import namespace="f5952aad-cd65-4de3-8d4e-24c335e63d1a"/>
    <xsd:import namespace="7cf50504-7577-403d-8bfd-cd0f33dbfe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52aad-cd65-4de3-8d4e-24c335e63d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73016ee-f6f3-49f5-9926-fe02af74f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50504-7577-403d-8bfd-cd0f33dbfe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1c43c36-afd4-4c95-9c01-6e5305f551f0}" ma:internalName="TaxCatchAll" ma:showField="CatchAllData" ma:web="7cf50504-7577-403d-8bfd-cd0f33dbfe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f50504-7577-403d-8bfd-cd0f33dbfe10" xsi:nil="true"/>
    <lcf76f155ced4ddcb4097134ff3c332f xmlns="f5952aad-cd65-4de3-8d4e-24c335e63d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67D08D-6EC7-4667-B977-8E85A100E75D}"/>
</file>

<file path=customXml/itemProps2.xml><?xml version="1.0" encoding="utf-8"?>
<ds:datastoreItem xmlns:ds="http://schemas.openxmlformats.org/officeDocument/2006/customXml" ds:itemID="{048FCCD8-7DF0-46FD-A3A8-E4BF41ADB8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1B2B77-B7A4-4CF9-B0B9-EA5602DAA9CD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7cf50504-7577-403d-8bfd-cd0f33dbfe10"/>
    <ds:schemaRef ds:uri="http://purl.org/dc/terms/"/>
    <ds:schemaRef ds:uri="http://schemas.microsoft.com/office/infopath/2007/PartnerControls"/>
    <ds:schemaRef ds:uri="http://schemas.microsoft.com/office/2006/documentManagement/types"/>
    <ds:schemaRef ds:uri="f5952aad-cd65-4de3-8d4e-24c335e63d1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Septon</dc:creator>
  <cp:lastModifiedBy>Santiago Villarreal Narvaez</cp:lastModifiedBy>
  <dcterms:created xsi:type="dcterms:W3CDTF">2015-06-05T18:17:20Z</dcterms:created>
  <dcterms:modified xsi:type="dcterms:W3CDTF">2024-05-12T10:03:51Z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0x01010059D2991E374CF643A565692E6FA309E6</vt:lpwstr>
  </property>
  <property fmtid="{D5CDD505-2E9C-101B-9397-08002B2CF9AE}" pid="3" name="MediaServiceImageTags">
    <vt:lpwstr/>
  </property>
</Properties>
</file>